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wndud\Univ\2026\2026-2 파란학기제\ajou-vis\eval\"/>
    </mc:Choice>
  </mc:AlternateContent>
  <xr:revisionPtr revIDLastSave="0" documentId="13_ncr:1_{5D623DB7-94EC-4DF8-88F6-F3EFED6F5401}" xr6:coauthVersionLast="47" xr6:coauthVersionMax="47" xr10:uidLastSave="{00000000-0000-0000-0000-000000000000}"/>
  <bookViews>
    <workbookView xWindow="-108" yWindow="-108" windowWidth="23256" windowHeight="12456" tabRatio="500" activeTab="2" xr2:uid="{00000000-000D-0000-FFFF-FFFF00000000}"/>
  </bookViews>
  <sheets>
    <sheet name="안내" sheetId="1" r:id="rId1"/>
    <sheet name="문항집" sheetId="2" r:id="rId2"/>
    <sheet name="집계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9" i="3" l="1"/>
  <c r="K8" i="3"/>
  <c r="L8" i="3" s="1"/>
  <c r="J8" i="3"/>
  <c r="H8" i="3"/>
  <c r="I8" i="3" s="1"/>
  <c r="G8" i="3"/>
  <c r="E8" i="3"/>
  <c r="F8" i="3" s="1"/>
  <c r="D8" i="3"/>
  <c r="C8" i="3"/>
  <c r="K7" i="3"/>
  <c r="L7" i="3" s="1"/>
  <c r="J7" i="3"/>
  <c r="H7" i="3"/>
  <c r="I7" i="3" s="1"/>
  <c r="G7" i="3"/>
  <c r="E7" i="3"/>
  <c r="F7" i="3" s="1"/>
  <c r="D7" i="3"/>
  <c r="C7" i="3"/>
  <c r="K6" i="3"/>
  <c r="L6" i="3" s="1"/>
  <c r="J6" i="3"/>
  <c r="I6" i="3"/>
  <c r="H6" i="3"/>
  <c r="G6" i="3"/>
  <c r="E6" i="3"/>
  <c r="F6" i="3" s="1"/>
  <c r="D6" i="3"/>
  <c r="C6" i="3"/>
  <c r="K5" i="3"/>
  <c r="J5" i="3"/>
  <c r="J9" i="3" s="1"/>
  <c r="H5" i="3"/>
  <c r="G5" i="3"/>
  <c r="G9" i="3" s="1"/>
  <c r="E5" i="3"/>
  <c r="D5" i="3"/>
  <c r="D9" i="3" s="1"/>
  <c r="C5" i="3"/>
  <c r="K9" i="3" l="1"/>
  <c r="L9" i="3" s="1"/>
  <c r="L5" i="3"/>
  <c r="H9" i="3"/>
  <c r="I9" i="3" s="1"/>
  <c r="I5" i="3"/>
  <c r="E9" i="3"/>
  <c r="F9" i="3" s="1"/>
  <c r="F5" i="3"/>
</calcChain>
</file>

<file path=xl/sharedStrings.xml><?xml version="1.0" encoding="utf-8"?>
<sst xmlns="http://schemas.openxmlformats.org/spreadsheetml/2006/main" count="273" uniqueCount="71">
  <si>
    <r>
      <rPr>
        <b/>
        <sz val="14"/>
        <color rgb="FF1F4E79"/>
        <rFont val="Arial"/>
        <family val="2"/>
      </rPr>
      <t xml:space="preserve">AJOU-VIS </t>
    </r>
    <r>
      <rPr>
        <b/>
        <sz val="14"/>
        <color rgb="FF1F4E79"/>
        <rFont val="Noto Sans CJK SC"/>
        <family val="2"/>
      </rPr>
      <t>평가 문항집 양식</t>
    </r>
  </si>
  <si>
    <r>
      <rPr>
        <sz val="10"/>
        <rFont val="Noto Sans CJK SC"/>
        <family val="2"/>
      </rPr>
      <t>목적</t>
    </r>
    <r>
      <rPr>
        <sz val="10"/>
        <rFont val="Arial"/>
        <family val="2"/>
      </rPr>
      <t>: 100</t>
    </r>
    <r>
      <rPr>
        <sz val="10"/>
        <rFont val="Noto Sans CJK SC"/>
        <family val="2"/>
      </rPr>
      <t>문항</t>
    </r>
    <r>
      <rPr>
        <sz val="10"/>
        <rFont val="Arial"/>
        <family val="2"/>
      </rPr>
      <t>(4</t>
    </r>
    <r>
      <rPr>
        <sz val="10"/>
        <rFont val="Noto Sans CJK SC"/>
        <family val="2"/>
      </rPr>
      <t xml:space="preserve">영역 </t>
    </r>
    <r>
      <rPr>
        <sz val="10"/>
        <rFont val="Arial"/>
        <family val="2"/>
      </rPr>
      <t>× 25</t>
    </r>
    <r>
      <rPr>
        <sz val="10"/>
        <rFont val="Noto Sans CJK SC"/>
        <family val="2"/>
      </rPr>
      <t>문항</t>
    </r>
    <r>
      <rPr>
        <sz val="10"/>
        <rFont val="Arial"/>
        <family val="2"/>
      </rPr>
      <t>)</t>
    </r>
    <r>
      <rPr>
        <sz val="10"/>
        <rFont val="Noto Sans CJK SC"/>
        <family val="2"/>
      </rPr>
      <t>으로 답변 정답률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근거 제시율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무근거 회피율을 측정한다</t>
    </r>
    <r>
      <rPr>
        <sz val="10"/>
        <rFont val="Arial"/>
        <family val="2"/>
      </rPr>
      <t>.</t>
    </r>
  </si>
  <si>
    <t>■ 시트 구성</t>
  </si>
  <si>
    <t>■ 채우는 순서</t>
  </si>
  <si>
    <r>
      <rPr>
        <sz val="10"/>
        <rFont val="Arial"/>
        <family val="2"/>
      </rPr>
      <t xml:space="preserve">  1) </t>
    </r>
    <r>
      <rPr>
        <sz val="10"/>
        <rFont val="Noto Sans CJK SC"/>
        <family val="2"/>
      </rPr>
      <t>문항집의 흰색 열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질문</t>
    </r>
    <r>
      <rPr>
        <sz val="10"/>
        <rFont val="Arial"/>
        <family val="2"/>
      </rPr>
      <t>~</t>
    </r>
    <r>
      <rPr>
        <sz val="10"/>
        <rFont val="Noto Sans CJK SC"/>
        <family val="2"/>
      </rPr>
      <t>정답판정기준</t>
    </r>
    <r>
      <rPr>
        <sz val="10"/>
        <rFont val="Arial"/>
        <family val="2"/>
      </rPr>
      <t>)</t>
    </r>
    <r>
      <rPr>
        <sz val="10"/>
        <rFont val="Noto Sans CJK SC"/>
        <family val="2"/>
      </rPr>
      <t xml:space="preserve">을 각 영역 </t>
    </r>
    <r>
      <rPr>
        <sz val="10"/>
        <rFont val="Arial"/>
        <family val="2"/>
      </rPr>
      <t>25</t>
    </r>
    <r>
      <rPr>
        <sz val="10"/>
        <rFont val="Noto Sans CJK SC"/>
        <family val="2"/>
      </rPr>
      <t>문항씩 채운다</t>
    </r>
    <r>
      <rPr>
        <sz val="10"/>
        <rFont val="Arial"/>
        <family val="2"/>
      </rPr>
      <t>.</t>
    </r>
  </si>
  <si>
    <r>
      <rPr>
        <sz val="10"/>
        <rFont val="Arial"/>
        <family val="2"/>
      </rPr>
      <t xml:space="preserve">  2) </t>
    </r>
    <r>
      <rPr>
        <sz val="10"/>
        <rFont val="Noto Sans CJK SC"/>
        <family val="2"/>
      </rPr>
      <t xml:space="preserve">각 영역 </t>
    </r>
    <r>
      <rPr>
        <sz val="10"/>
        <rFont val="Arial"/>
        <family val="2"/>
      </rPr>
      <t>25</t>
    </r>
    <r>
      <rPr>
        <sz val="10"/>
        <rFont val="Noto Sans CJK SC"/>
        <family val="2"/>
      </rPr>
      <t xml:space="preserve">문항 중 </t>
    </r>
    <r>
      <rPr>
        <sz val="10"/>
        <rFont val="Arial"/>
        <family val="2"/>
      </rPr>
      <t>3~5</t>
    </r>
    <r>
      <rPr>
        <sz val="10"/>
        <rFont val="Noto Sans CJK SC"/>
        <family val="2"/>
      </rPr>
      <t xml:space="preserve">개는 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유형</t>
    </r>
    <r>
      <rPr>
        <sz val="10"/>
        <rFont val="Arial"/>
        <family val="2"/>
      </rPr>
      <t>'</t>
    </r>
    <r>
      <rPr>
        <sz val="10"/>
        <rFont val="Noto Sans CJK SC"/>
        <family val="2"/>
      </rPr>
      <t xml:space="preserve">을 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함정</t>
    </r>
    <r>
      <rPr>
        <sz val="10"/>
        <rFont val="Arial"/>
        <family val="2"/>
      </rPr>
      <t>-</t>
    </r>
    <r>
      <rPr>
        <sz val="10"/>
        <rFont val="Noto Sans CJK SC"/>
        <family val="2"/>
      </rPr>
      <t>무근거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로 지정한다</t>
    </r>
    <r>
      <rPr>
        <sz val="10"/>
        <rFont val="Arial"/>
        <family val="2"/>
      </rPr>
      <t>.</t>
    </r>
  </si>
  <si>
    <r>
      <rPr>
        <sz val="10"/>
        <rFont val="Noto Sans CJK SC"/>
        <family val="2"/>
      </rPr>
      <t xml:space="preserve">     → 일부러 근거 문서에 없는 질문</t>
    </r>
    <r>
      <rPr>
        <sz val="10"/>
        <rFont val="Arial"/>
        <family val="2"/>
      </rPr>
      <t xml:space="preserve">. </t>
    </r>
    <r>
      <rPr>
        <sz val="10"/>
        <rFont val="Noto Sans CJK SC"/>
        <family val="2"/>
      </rPr>
      <t>시스템이 규정을 지어내지 않고 담당 부서로</t>
    </r>
  </si>
  <si>
    <r>
      <rPr>
        <sz val="10"/>
        <rFont val="Noto Sans CJK SC"/>
        <family val="2"/>
      </rPr>
      <t xml:space="preserve">       안내하면 정답</t>
    </r>
    <r>
      <rPr>
        <sz val="10"/>
        <rFont val="Arial"/>
        <family val="2"/>
      </rPr>
      <t xml:space="preserve">. </t>
    </r>
    <r>
      <rPr>
        <sz val="10"/>
        <rFont val="Noto Sans CJK SC"/>
        <family val="2"/>
      </rPr>
      <t xml:space="preserve">이 문항들로 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무근거 회피율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을 측정한다</t>
    </r>
    <r>
      <rPr>
        <sz val="10"/>
        <rFont val="Arial"/>
        <family val="2"/>
      </rPr>
      <t>.</t>
    </r>
  </si>
  <si>
    <r>
      <rPr>
        <sz val="10"/>
        <rFont val="Arial"/>
        <family val="2"/>
      </rPr>
      <t xml:space="preserve">  3) </t>
    </r>
    <r>
      <rPr>
        <sz val="10"/>
        <rFont val="Noto Sans CJK SC"/>
        <family val="2"/>
      </rPr>
      <t>시스템에 문항을 넣어 응답을 받고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노란색 채점 열을 </t>
    </r>
    <r>
      <rPr>
        <sz val="10"/>
        <rFont val="Arial"/>
        <family val="2"/>
      </rPr>
      <t>O/X/NA</t>
    </r>
    <r>
      <rPr>
        <sz val="10"/>
        <rFont val="Noto Sans CJK SC"/>
        <family val="2"/>
      </rPr>
      <t>로 기록한다</t>
    </r>
    <r>
      <rPr>
        <sz val="10"/>
        <rFont val="Arial"/>
        <family val="2"/>
      </rPr>
      <t>.</t>
    </r>
  </si>
  <si>
    <t>■ 채점 열 규칙</t>
  </si>
  <si>
    <r>
      <rPr>
        <sz val="10"/>
        <rFont val="Arial"/>
        <family val="2"/>
      </rPr>
      <t xml:space="preserve">  · </t>
    </r>
    <r>
      <rPr>
        <sz val="10"/>
        <rFont val="Noto Sans CJK SC"/>
        <family val="2"/>
      </rPr>
      <t>근거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 xml:space="preserve">출처 제시 </t>
    </r>
    <r>
      <rPr>
        <sz val="10"/>
        <rFont val="Arial"/>
        <family val="2"/>
      </rPr>
      <t xml:space="preserve">(O/X/NA): </t>
    </r>
    <r>
      <rPr>
        <sz val="10"/>
        <rFont val="Noto Sans CJK SC"/>
        <family val="2"/>
      </rPr>
      <t>근거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 xml:space="preserve">출처를 밝혔으면 </t>
    </r>
    <r>
      <rPr>
        <sz val="10"/>
        <rFont val="Arial"/>
        <family val="2"/>
      </rPr>
      <t xml:space="preserve">O · </t>
    </r>
    <r>
      <rPr>
        <sz val="10"/>
        <rFont val="Noto Sans CJK SC"/>
        <family val="2"/>
      </rPr>
      <t xml:space="preserve">안 밝혔으면 </t>
    </r>
    <r>
      <rPr>
        <sz val="10"/>
        <rFont val="Arial"/>
        <family val="2"/>
      </rPr>
      <t xml:space="preserve">X · </t>
    </r>
    <r>
      <rPr>
        <sz val="10"/>
        <rFont val="Noto Sans CJK SC"/>
        <family val="2"/>
      </rPr>
      <t xml:space="preserve">함정문항은 </t>
    </r>
    <r>
      <rPr>
        <sz val="10"/>
        <rFont val="Arial"/>
        <family val="2"/>
      </rPr>
      <t>NA</t>
    </r>
  </si>
  <si>
    <r>
      <rPr>
        <sz val="10"/>
        <rFont val="Noto Sans CJK SC"/>
        <family val="2"/>
      </rPr>
      <t xml:space="preserve">■ 목표치 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계획서 기준</t>
    </r>
    <r>
      <rPr>
        <sz val="10"/>
        <rFont val="Arial"/>
        <family val="2"/>
      </rPr>
      <t>)</t>
    </r>
  </si>
  <si>
    <r>
      <rPr>
        <sz val="10"/>
        <rFont val="Arial"/>
        <family val="2"/>
      </rPr>
      <t xml:space="preserve">  · </t>
    </r>
    <r>
      <rPr>
        <sz val="10"/>
        <rFont val="Noto Sans CJK SC"/>
        <family val="2"/>
      </rPr>
      <t xml:space="preserve">정답률 </t>
    </r>
    <r>
      <rPr>
        <sz val="10"/>
        <rFont val="Arial"/>
        <family val="2"/>
      </rPr>
      <t>: 1</t>
    </r>
    <r>
      <rPr>
        <sz val="10"/>
        <rFont val="Noto Sans CJK SC"/>
        <family val="2"/>
      </rPr>
      <t xml:space="preserve">차 </t>
    </r>
    <r>
      <rPr>
        <sz val="10"/>
        <rFont val="Arial"/>
        <family val="2"/>
      </rPr>
      <t xml:space="preserve">70% → </t>
    </r>
    <r>
      <rPr>
        <sz val="10"/>
        <rFont val="Noto Sans CJK SC"/>
        <family val="2"/>
      </rPr>
      <t xml:space="preserve">최종 </t>
    </r>
    <r>
      <rPr>
        <sz val="10"/>
        <rFont val="Arial"/>
        <family val="2"/>
      </rPr>
      <t>85%</t>
    </r>
  </si>
  <si>
    <r>
      <rPr>
        <sz val="10"/>
        <rFont val="Arial"/>
        <family val="2"/>
      </rPr>
      <t xml:space="preserve">  · </t>
    </r>
    <r>
      <rPr>
        <sz val="10"/>
        <rFont val="Noto Sans CJK SC"/>
        <family val="2"/>
      </rPr>
      <t xml:space="preserve">근거 제시율 </t>
    </r>
    <r>
      <rPr>
        <sz val="10"/>
        <rFont val="Arial"/>
        <family val="2"/>
      </rPr>
      <t xml:space="preserve">: 90% </t>
    </r>
    <r>
      <rPr>
        <sz val="10"/>
        <rFont val="Noto Sans CJK SC"/>
        <family val="2"/>
      </rPr>
      <t>이상</t>
    </r>
  </si>
  <si>
    <r>
      <rPr>
        <sz val="10"/>
        <rFont val="Arial"/>
        <family val="2"/>
      </rPr>
      <t xml:space="preserve">  · </t>
    </r>
    <r>
      <rPr>
        <sz val="10"/>
        <rFont val="Noto Sans CJK SC"/>
        <family val="2"/>
      </rPr>
      <t xml:space="preserve">무근거 회피율 </t>
    </r>
    <r>
      <rPr>
        <sz val="10"/>
        <rFont val="Arial"/>
        <family val="2"/>
      </rPr>
      <t>: 100%</t>
    </r>
  </si>
  <si>
    <r>
      <rPr>
        <b/>
        <sz val="14"/>
        <color rgb="FF1F4E79"/>
        <rFont val="Arial"/>
        <family val="2"/>
      </rPr>
      <t xml:space="preserve">AJOU-VIS </t>
    </r>
    <r>
      <rPr>
        <b/>
        <sz val="14"/>
        <color rgb="FF1F4E79"/>
        <rFont val="Noto Sans CJK SC"/>
        <family val="2"/>
      </rPr>
      <t xml:space="preserve">평가 문항집  </t>
    </r>
    <r>
      <rPr>
        <b/>
        <sz val="14"/>
        <color rgb="FF1F4E79"/>
        <rFont val="Arial"/>
        <family val="2"/>
      </rPr>
      <t>(4</t>
    </r>
    <r>
      <rPr>
        <b/>
        <sz val="14"/>
        <color rgb="FF1F4E79"/>
        <rFont val="Noto Sans CJK SC"/>
        <family val="2"/>
      </rPr>
      <t xml:space="preserve">영역 </t>
    </r>
    <r>
      <rPr>
        <b/>
        <sz val="14"/>
        <color rgb="FF1F4E79"/>
        <rFont val="Arial"/>
        <family val="2"/>
      </rPr>
      <t>× 25</t>
    </r>
    <r>
      <rPr>
        <b/>
        <sz val="14"/>
        <color rgb="FF1F4E79"/>
        <rFont val="Noto Sans CJK SC"/>
        <family val="2"/>
      </rPr>
      <t xml:space="preserve">문항 </t>
    </r>
    <r>
      <rPr>
        <b/>
        <sz val="14"/>
        <color rgb="FF1F4E79"/>
        <rFont val="Arial"/>
        <family val="2"/>
      </rPr>
      <t>= 100)</t>
    </r>
  </si>
  <si>
    <r>
      <rPr>
        <i/>
        <sz val="9"/>
        <color rgb="FF666666"/>
        <rFont val="Noto Sans CJK SC"/>
        <family val="2"/>
      </rPr>
      <t>흰색 열</t>
    </r>
    <r>
      <rPr>
        <i/>
        <sz val="9"/>
        <color rgb="FF666666"/>
        <rFont val="Arial"/>
        <family val="2"/>
      </rPr>
      <t>=</t>
    </r>
    <r>
      <rPr>
        <i/>
        <sz val="9"/>
        <color rgb="FF666666"/>
        <rFont val="Noto Sans CJK SC"/>
        <family val="2"/>
      </rPr>
      <t xml:space="preserve">작성 </t>
    </r>
    <r>
      <rPr>
        <i/>
        <sz val="9"/>
        <color rgb="FF666666"/>
        <rFont val="Arial"/>
        <family val="2"/>
      </rPr>
      <t xml:space="preserve">· </t>
    </r>
    <r>
      <rPr>
        <i/>
        <sz val="9"/>
        <color rgb="FF666666"/>
        <rFont val="Noto Sans CJK SC"/>
        <family val="2"/>
      </rPr>
      <t>노란색 열</t>
    </r>
    <r>
      <rPr>
        <i/>
        <sz val="9"/>
        <color rgb="FF666666"/>
        <rFont val="Arial"/>
        <family val="2"/>
      </rPr>
      <t>=</t>
    </r>
    <r>
      <rPr>
        <i/>
        <sz val="9"/>
        <color rgb="FF666666"/>
        <rFont val="Noto Sans CJK SC"/>
        <family val="2"/>
      </rPr>
      <t xml:space="preserve">테스트 후 채점 </t>
    </r>
    <r>
      <rPr>
        <i/>
        <sz val="9"/>
        <color rgb="FF666666"/>
        <rFont val="Arial"/>
        <family val="2"/>
      </rPr>
      <t xml:space="preserve">· </t>
    </r>
    <r>
      <rPr>
        <i/>
        <sz val="9"/>
        <color rgb="FF666666"/>
        <rFont val="Noto Sans CJK SC"/>
        <family val="2"/>
      </rPr>
      <t xml:space="preserve">각 영역 </t>
    </r>
    <r>
      <rPr>
        <i/>
        <sz val="9"/>
        <color rgb="FF666666"/>
        <rFont val="Arial"/>
        <family val="2"/>
      </rPr>
      <t>25</t>
    </r>
    <r>
      <rPr>
        <i/>
        <sz val="9"/>
        <color rgb="FF666666"/>
        <rFont val="Noto Sans CJK SC"/>
        <family val="2"/>
      </rPr>
      <t xml:space="preserve">문항 중 </t>
    </r>
    <r>
      <rPr>
        <i/>
        <sz val="9"/>
        <color rgb="FF666666"/>
        <rFont val="Arial"/>
        <family val="2"/>
      </rPr>
      <t>3~5</t>
    </r>
    <r>
      <rPr>
        <i/>
        <sz val="9"/>
        <color rgb="FF666666"/>
        <rFont val="Noto Sans CJK SC"/>
        <family val="2"/>
      </rPr>
      <t xml:space="preserve">개는 유형을 </t>
    </r>
    <r>
      <rPr>
        <i/>
        <sz val="9"/>
        <color rgb="FF666666"/>
        <rFont val="Arial"/>
        <family val="2"/>
      </rPr>
      <t>'</t>
    </r>
    <r>
      <rPr>
        <i/>
        <sz val="9"/>
        <color rgb="FF666666"/>
        <rFont val="Noto Sans CJK SC"/>
        <family val="2"/>
      </rPr>
      <t>함정</t>
    </r>
    <r>
      <rPr>
        <i/>
        <sz val="9"/>
        <color rgb="FF666666"/>
        <rFont val="Arial"/>
        <family val="2"/>
      </rPr>
      <t>-</t>
    </r>
    <r>
      <rPr>
        <i/>
        <sz val="9"/>
        <color rgb="FF666666"/>
        <rFont val="Noto Sans CJK SC"/>
        <family val="2"/>
      </rPr>
      <t>무근거</t>
    </r>
    <r>
      <rPr>
        <i/>
        <sz val="9"/>
        <color rgb="FF666666"/>
        <rFont val="Arial"/>
        <family val="2"/>
      </rPr>
      <t>'</t>
    </r>
    <r>
      <rPr>
        <i/>
        <sz val="9"/>
        <color rgb="FF666666"/>
        <rFont val="Noto Sans CJK SC"/>
        <family val="2"/>
      </rPr>
      <t>로</t>
    </r>
  </si>
  <si>
    <t>번호</t>
  </si>
  <si>
    <t>영역</t>
  </si>
  <si>
    <t>유형</t>
  </si>
  <si>
    <r>
      <rPr>
        <b/>
        <sz val="10"/>
        <color rgb="FFFFFFFF"/>
        <rFont val="Noto Sans CJK SC"/>
        <family val="2"/>
      </rPr>
      <t>질문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Noto Sans CJK SC"/>
        <family val="2"/>
      </rPr>
      <t>한국어</t>
    </r>
    <r>
      <rPr>
        <b/>
        <sz val="10"/>
        <color rgb="FFFFFFFF"/>
        <rFont val="Arial"/>
        <family val="2"/>
      </rPr>
      <t>)</t>
    </r>
  </si>
  <si>
    <r>
      <rPr>
        <b/>
        <sz val="10"/>
        <color rgb="FFFFFFFF"/>
        <rFont val="Noto Sans CJK SC"/>
        <family val="2"/>
      </rPr>
      <t>질문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Noto Sans CJK SC"/>
        <family val="2"/>
      </rPr>
      <t>영어</t>
    </r>
    <r>
      <rPr>
        <b/>
        <sz val="10"/>
        <color rgb="FFFFFFFF"/>
        <rFont val="Arial"/>
        <family val="2"/>
      </rPr>
      <t>)</t>
    </r>
  </si>
  <si>
    <r>
      <rPr>
        <b/>
        <sz val="10"/>
        <color rgb="FFFFFFFF"/>
        <rFont val="Noto Sans CJK SC"/>
        <family val="2"/>
      </rPr>
      <t>기대 정답</t>
    </r>
    <r>
      <rPr>
        <b/>
        <sz val="10"/>
        <color rgb="FFFFFFFF"/>
        <rFont val="Arial"/>
        <family val="2"/>
      </rPr>
      <t>·</t>
    </r>
    <r>
      <rPr>
        <b/>
        <sz val="10"/>
        <color rgb="FFFFFFFF"/>
        <rFont val="Noto Sans CJK SC"/>
        <family val="2"/>
      </rPr>
      <t>핵심 사실</t>
    </r>
  </si>
  <si>
    <t>근거 문서명</t>
  </si>
  <si>
    <r>
      <rPr>
        <b/>
        <sz val="10"/>
        <color rgb="FFFFFFFF"/>
        <rFont val="Noto Sans CJK SC"/>
        <family val="2"/>
      </rPr>
      <t>근거 조항</t>
    </r>
    <r>
      <rPr>
        <b/>
        <sz val="10"/>
        <color rgb="FFFFFFFF"/>
        <rFont val="Arial"/>
        <family val="2"/>
      </rPr>
      <t>·URL</t>
    </r>
  </si>
  <si>
    <t>정답 판정 기준</t>
  </si>
  <si>
    <r>
      <rPr>
        <b/>
        <sz val="10"/>
        <color rgb="FFFFFFFF"/>
        <rFont val="Noto Sans CJK SC"/>
        <family val="2"/>
      </rPr>
      <t xml:space="preserve">정답
</t>
    </r>
    <r>
      <rPr>
        <b/>
        <sz val="10"/>
        <color rgb="FFFFFFFF"/>
        <rFont val="Arial"/>
        <family val="2"/>
      </rPr>
      <t>(O/X)</t>
    </r>
  </si>
  <si>
    <r>
      <rPr>
        <b/>
        <sz val="10"/>
        <color rgb="FFFFFFFF"/>
        <rFont val="Noto Sans CJK SC"/>
        <family val="2"/>
      </rPr>
      <t>근거</t>
    </r>
    <r>
      <rPr>
        <b/>
        <sz val="10"/>
        <color rgb="FFFFFFFF"/>
        <rFont val="Arial"/>
        <family val="2"/>
      </rPr>
      <t>·</t>
    </r>
    <r>
      <rPr>
        <b/>
        <sz val="10"/>
        <color rgb="FFFFFFFF"/>
        <rFont val="Noto Sans CJK SC"/>
        <family val="2"/>
      </rPr>
      <t>출처
제시</t>
    </r>
    <r>
      <rPr>
        <b/>
        <sz val="10"/>
        <color rgb="FFFFFFFF"/>
        <rFont val="Arial"/>
        <family val="2"/>
      </rPr>
      <t>(O/X/NA)</t>
    </r>
  </si>
  <si>
    <t>실제 응답 요약</t>
  </si>
  <si>
    <t>비고</t>
  </si>
  <si>
    <t>학사규정</t>
  </si>
  <si>
    <t>일반</t>
  </si>
  <si>
    <r>
      <rPr>
        <sz val="10"/>
        <rFont val="Noto Sans CJK SC"/>
        <family val="2"/>
      </rPr>
      <t xml:space="preserve">소프트웨어학과 </t>
    </r>
    <r>
      <rPr>
        <sz val="10"/>
        <rFont val="Arial"/>
        <family val="2"/>
      </rPr>
      <t>2024</t>
    </r>
    <r>
      <rPr>
        <sz val="10"/>
        <rFont val="Noto Sans CJK SC"/>
        <family val="2"/>
      </rPr>
      <t>학번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졸업까지 몇 학점 필요해</t>
    </r>
    <r>
      <rPr>
        <sz val="10"/>
        <rFont val="Arial"/>
        <family val="2"/>
      </rPr>
      <t>?</t>
    </r>
  </si>
  <si>
    <t>How many credits to graduate (SW, 2024 entry)?</t>
  </si>
  <si>
    <r>
      <rPr>
        <sz val="10"/>
        <rFont val="Arial"/>
        <family val="2"/>
      </rPr>
      <t>140</t>
    </r>
    <r>
      <rPr>
        <sz val="10"/>
        <rFont val="Noto Sans CJK SC"/>
        <family val="2"/>
      </rPr>
      <t>학점</t>
    </r>
  </si>
  <si>
    <t>학사요람</t>
  </si>
  <si>
    <r>
      <rPr>
        <sz val="10"/>
        <rFont val="Noto Sans CJK SC"/>
        <family val="2"/>
      </rPr>
      <t xml:space="preserve">졸업요건 </t>
    </r>
    <r>
      <rPr>
        <sz val="10"/>
        <rFont val="Arial"/>
        <family val="2"/>
      </rPr>
      <t>/ bulletin.do</t>
    </r>
  </si>
  <si>
    <r>
      <rPr>
        <sz val="10"/>
        <rFont val="Arial"/>
        <family val="2"/>
      </rPr>
      <t>140</t>
    </r>
    <r>
      <rPr>
        <sz val="10"/>
        <rFont val="Noto Sans CJK SC"/>
        <family val="2"/>
      </rPr>
      <t>학점을 정확히 안내하면 정답</t>
    </r>
    <r>
      <rPr>
        <sz val="10"/>
        <rFont val="Arial"/>
        <family val="2"/>
      </rPr>
      <t xml:space="preserve">. 128 </t>
    </r>
    <r>
      <rPr>
        <sz val="10"/>
        <rFont val="Noto Sans CJK SC"/>
        <family val="2"/>
      </rPr>
      <t>등 다른 값 안내 시 오답</t>
    </r>
    <r>
      <rPr>
        <sz val="10"/>
        <rFont val="Arial"/>
        <family val="2"/>
      </rPr>
      <t>.</t>
    </r>
  </si>
  <si>
    <t>O</t>
  </si>
  <si>
    <r>
      <rPr>
        <sz val="10"/>
        <rFont val="Noto Sans CJK SC"/>
        <family val="2"/>
      </rPr>
      <t>치토</t>
    </r>
    <r>
      <rPr>
        <sz val="10"/>
        <rFont val="Arial"/>
        <family val="2"/>
      </rPr>
      <t>: 140</t>
    </r>
    <r>
      <rPr>
        <sz val="10"/>
        <rFont val="Noto Sans CJK SC"/>
        <family val="2"/>
      </rPr>
      <t>학점 필요해요 — 학사요람 졸업요건</t>
    </r>
  </si>
  <si>
    <r>
      <rPr>
        <sz val="10"/>
        <rFont val="Noto Sans CJK SC"/>
        <family val="2"/>
      </rPr>
      <t xml:space="preserve">예시 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교체하세요</t>
    </r>
    <r>
      <rPr>
        <sz val="10"/>
        <rFont val="Arial"/>
        <family val="2"/>
      </rPr>
      <t>)</t>
    </r>
  </si>
  <si>
    <r>
      <rPr>
        <sz val="10"/>
        <rFont val="Noto Sans CJK SC"/>
        <family val="2"/>
      </rPr>
      <t>함정</t>
    </r>
    <r>
      <rPr>
        <sz val="10"/>
        <rFont val="Arial"/>
        <family val="2"/>
      </rPr>
      <t>-</t>
    </r>
    <r>
      <rPr>
        <sz val="10"/>
        <rFont val="Noto Sans CJK SC"/>
        <family val="2"/>
      </rPr>
      <t>무근거</t>
    </r>
  </si>
  <si>
    <r>
      <rPr>
        <sz val="10"/>
        <rFont val="Noto Sans CJK SC"/>
        <family val="2"/>
      </rPr>
      <t>복수전공 시 졸업논문은 몇 페이지 이상이어야 해</t>
    </r>
    <r>
      <rPr>
        <sz val="10"/>
        <rFont val="Arial"/>
        <family val="2"/>
      </rPr>
      <t>?</t>
    </r>
  </si>
  <si>
    <t>Minimum thesis length for a double major?</t>
  </si>
  <si>
    <r>
      <rPr>
        <sz val="10"/>
        <rFont val="Arial"/>
        <family val="2"/>
      </rPr>
      <t>(</t>
    </r>
    <r>
      <rPr>
        <sz val="10"/>
        <rFont val="Noto Sans CJK SC"/>
        <family val="2"/>
      </rPr>
      <t>자료에 없음 → 부서 안내가 정답</t>
    </r>
    <r>
      <rPr>
        <sz val="10"/>
        <rFont val="Arial"/>
        <family val="2"/>
      </rPr>
      <t>)</t>
    </r>
  </si>
  <si>
    <t>-</t>
  </si>
  <si>
    <r>
      <rPr>
        <sz val="10"/>
        <rFont val="Noto Sans CJK SC"/>
        <family val="2"/>
      </rPr>
      <t>근거 문서에 없는 항목</t>
    </r>
    <r>
      <rPr>
        <sz val="10"/>
        <rFont val="Arial"/>
        <family val="2"/>
      </rPr>
      <t xml:space="preserve">. </t>
    </r>
    <r>
      <rPr>
        <sz val="10"/>
        <rFont val="Noto Sans CJK SC"/>
        <family val="2"/>
      </rPr>
      <t>규정 지어내지 않고 학과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학사지원팀 안내 시 정답</t>
    </r>
    <r>
      <rPr>
        <sz val="10"/>
        <rFont val="Arial"/>
        <family val="2"/>
      </rPr>
      <t xml:space="preserve">. </t>
    </r>
    <r>
      <rPr>
        <sz val="10"/>
        <rFont val="Noto Sans CJK SC"/>
        <family val="2"/>
      </rPr>
      <t>페이지 수를 지어내면 오답</t>
    </r>
    <r>
      <rPr>
        <sz val="10"/>
        <rFont val="Arial"/>
        <family val="2"/>
      </rPr>
      <t>.</t>
    </r>
  </si>
  <si>
    <t>NA</t>
  </si>
  <si>
    <r>
      <rPr>
        <sz val="10"/>
        <rFont val="Noto Sans CJK SC"/>
        <family val="2"/>
      </rPr>
      <t>치토</t>
    </r>
    <r>
      <rPr>
        <sz val="10"/>
        <rFont val="Arial"/>
        <family val="2"/>
      </rPr>
      <t xml:space="preserve">: </t>
    </r>
    <r>
      <rPr>
        <sz val="10"/>
        <rFont val="Noto Sans CJK SC"/>
        <family val="2"/>
      </rPr>
      <t>그건 제 자료로 확인이 안 돼요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학과 사무실에 확인해줘요</t>
    </r>
  </si>
  <si>
    <r>
      <rPr>
        <sz val="10"/>
        <rFont val="Noto Sans CJK SC"/>
        <family val="2"/>
      </rPr>
      <t xml:space="preserve">예시 함정문항 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교체하세요</t>
    </r>
    <r>
      <rPr>
        <sz val="10"/>
        <rFont val="Arial"/>
        <family val="2"/>
      </rPr>
      <t>)</t>
    </r>
  </si>
  <si>
    <t>행정절차</t>
  </si>
  <si>
    <t>외국인학생행정</t>
  </si>
  <si>
    <t>캠퍼스시설</t>
  </si>
  <si>
    <r>
      <rPr>
        <b/>
        <sz val="14"/>
        <color rgb="FF1F4E79"/>
        <rFont val="Noto Sans CJK SC"/>
        <family val="2"/>
      </rPr>
      <t xml:space="preserve">채점 집계 </t>
    </r>
    <r>
      <rPr>
        <b/>
        <sz val="14"/>
        <color rgb="FF1F4E79"/>
        <rFont val="Arial"/>
        <family val="2"/>
      </rPr>
      <t>(</t>
    </r>
    <r>
      <rPr>
        <b/>
        <sz val="14"/>
        <color rgb="FF1F4E79"/>
        <rFont val="Noto Sans CJK SC"/>
        <family val="2"/>
      </rPr>
      <t>문항집 자동 계산</t>
    </r>
    <r>
      <rPr>
        <b/>
        <sz val="14"/>
        <color rgb="FF1F4E79"/>
        <rFont val="Arial"/>
        <family val="2"/>
      </rPr>
      <t>)</t>
    </r>
  </si>
  <si>
    <t>문항수</t>
  </si>
  <si>
    <t>채점완료</t>
  </si>
  <si>
    <t>정답수</t>
  </si>
  <si>
    <t>정답률</t>
  </si>
  <si>
    <t>일반문항</t>
  </si>
  <si>
    <t>근거제시수</t>
  </si>
  <si>
    <t>근거제시율</t>
  </si>
  <si>
    <t>함정문항</t>
  </si>
  <si>
    <t>함정정답수</t>
  </si>
  <si>
    <t>무근거회피율</t>
  </si>
  <si>
    <t>전체</t>
  </si>
  <si>
    <r>
      <rPr>
        <i/>
        <sz val="9"/>
        <color rgb="FF666666"/>
        <rFont val="Noto Sans CJK SC"/>
        <family val="2"/>
      </rPr>
      <t>목표</t>
    </r>
    <r>
      <rPr>
        <i/>
        <sz val="9"/>
        <color rgb="FF666666"/>
        <rFont val="Arial"/>
        <family val="2"/>
      </rPr>
      <t xml:space="preserve">: </t>
    </r>
    <r>
      <rPr>
        <i/>
        <sz val="9"/>
        <color rgb="FF666666"/>
        <rFont val="Noto Sans CJK SC"/>
        <family val="2"/>
      </rPr>
      <t xml:space="preserve">정답률 </t>
    </r>
    <r>
      <rPr>
        <i/>
        <sz val="9"/>
        <color rgb="FF666666"/>
        <rFont val="Arial"/>
        <family val="2"/>
      </rPr>
      <t>1</t>
    </r>
    <r>
      <rPr>
        <i/>
        <sz val="9"/>
        <color rgb="FF666666"/>
        <rFont val="Noto Sans CJK SC"/>
        <family val="2"/>
      </rPr>
      <t xml:space="preserve">차 </t>
    </r>
    <r>
      <rPr>
        <i/>
        <sz val="9"/>
        <color rgb="FF666666"/>
        <rFont val="Arial"/>
        <family val="2"/>
      </rPr>
      <t>70%→</t>
    </r>
    <r>
      <rPr>
        <i/>
        <sz val="9"/>
        <color rgb="FF666666"/>
        <rFont val="Noto Sans CJK SC"/>
        <family val="2"/>
      </rPr>
      <t xml:space="preserve">최종 </t>
    </r>
    <r>
      <rPr>
        <i/>
        <sz val="9"/>
        <color rgb="FF666666"/>
        <rFont val="Arial"/>
        <family val="2"/>
      </rPr>
      <t xml:space="preserve">85% · </t>
    </r>
    <r>
      <rPr>
        <i/>
        <sz val="9"/>
        <color rgb="FF666666"/>
        <rFont val="Noto Sans CJK SC"/>
        <family val="2"/>
      </rPr>
      <t xml:space="preserve">근거제시율 </t>
    </r>
    <r>
      <rPr>
        <i/>
        <sz val="9"/>
        <color rgb="FF666666"/>
        <rFont val="Arial"/>
        <family val="2"/>
      </rPr>
      <t xml:space="preserve">90%↑ · </t>
    </r>
    <r>
      <rPr>
        <i/>
        <sz val="9"/>
        <color rgb="FF666666"/>
        <rFont val="Noto Sans CJK SC"/>
        <family val="2"/>
      </rPr>
      <t xml:space="preserve">무근거회피율 </t>
    </r>
    <r>
      <rPr>
        <i/>
        <sz val="9"/>
        <color rgb="FF666666"/>
        <rFont val="Arial"/>
        <family val="2"/>
      </rPr>
      <t>100%</t>
    </r>
  </si>
  <si>
    <r>
      <t xml:space="preserve">  · </t>
    </r>
    <r>
      <rPr>
        <sz val="10"/>
        <rFont val="Noto Sans KR"/>
        <family val="2"/>
        <charset val="129"/>
      </rPr>
      <t>문항집</t>
    </r>
    <r>
      <rPr>
        <sz val="10"/>
        <rFont val="Arial"/>
        <family val="2"/>
      </rPr>
      <t xml:space="preserve">: </t>
    </r>
    <r>
      <rPr>
        <sz val="10"/>
        <rFont val="Noto Sans KR"/>
        <family val="2"/>
        <charset val="129"/>
      </rPr>
      <t>문항을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채우고</t>
    </r>
    <r>
      <rPr>
        <sz val="10"/>
        <rFont val="Arial"/>
        <family val="2"/>
      </rPr>
      <t xml:space="preserve">, </t>
    </r>
    <r>
      <rPr>
        <sz val="10"/>
        <rFont val="Noto Sans KR"/>
        <family val="2"/>
        <charset val="129"/>
      </rPr>
      <t>테스트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후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채점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열</t>
    </r>
    <r>
      <rPr>
        <sz val="10"/>
        <rFont val="Arial"/>
        <family val="2"/>
      </rPr>
      <t>(</t>
    </r>
    <r>
      <rPr>
        <sz val="10"/>
        <rFont val="Noto Sans KR"/>
        <family val="2"/>
        <charset val="129"/>
      </rPr>
      <t>노란색</t>
    </r>
    <r>
      <rPr>
        <sz val="10"/>
        <rFont val="Arial"/>
        <family val="2"/>
      </rPr>
      <t>)</t>
    </r>
    <r>
      <rPr>
        <sz val="10"/>
        <rFont val="Noto Sans KR"/>
        <family val="2"/>
        <charset val="129"/>
      </rPr>
      <t>을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기록</t>
    </r>
    <phoneticPr fontId="12" type="noConversion"/>
  </si>
  <si>
    <r>
      <t xml:space="preserve">  · </t>
    </r>
    <r>
      <rPr>
        <sz val="10"/>
        <rFont val="Noto Sans KR"/>
        <family val="2"/>
        <charset val="129"/>
      </rPr>
      <t>집계</t>
    </r>
    <r>
      <rPr>
        <sz val="10"/>
        <rFont val="Arial"/>
        <family val="2"/>
      </rPr>
      <t xml:space="preserve">: </t>
    </r>
    <r>
      <rPr>
        <sz val="10"/>
        <rFont val="Noto Sans KR"/>
        <family val="2"/>
        <charset val="129"/>
      </rPr>
      <t>문항집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채점을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자동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계산</t>
    </r>
    <r>
      <rPr>
        <sz val="10"/>
        <rFont val="Arial"/>
        <family val="2"/>
      </rPr>
      <t xml:space="preserve"> (</t>
    </r>
    <r>
      <rPr>
        <sz val="10"/>
        <rFont val="Noto Sans KR"/>
        <family val="2"/>
        <charset val="129"/>
      </rPr>
      <t>영역별</t>
    </r>
    <r>
      <rPr>
        <sz val="10"/>
        <rFont val="Arial"/>
        <family val="2"/>
      </rPr>
      <t>/</t>
    </r>
    <r>
      <rPr>
        <sz val="10"/>
        <rFont val="Noto Sans KR"/>
        <family val="2"/>
        <charset val="129"/>
      </rPr>
      <t>전체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정답률</t>
    </r>
    <r>
      <rPr>
        <sz val="10"/>
        <rFont val="Arial"/>
        <family val="2"/>
      </rPr>
      <t>·</t>
    </r>
    <r>
      <rPr>
        <sz val="10"/>
        <rFont val="Noto Sans KR"/>
        <family val="2"/>
        <charset val="129"/>
      </rPr>
      <t>근거제시율</t>
    </r>
    <r>
      <rPr>
        <sz val="10"/>
        <rFont val="Arial"/>
        <family val="2"/>
      </rPr>
      <t>·</t>
    </r>
    <r>
      <rPr>
        <sz val="10"/>
        <rFont val="Noto Sans KR"/>
        <family val="2"/>
        <charset val="129"/>
      </rPr>
      <t>무근거회피율</t>
    </r>
    <r>
      <rPr>
        <sz val="10"/>
        <rFont val="Arial"/>
        <family val="2"/>
      </rPr>
      <t>)</t>
    </r>
    <phoneticPr fontId="12" type="noConversion"/>
  </si>
  <si>
    <r>
      <t xml:space="preserve">  · </t>
    </r>
    <r>
      <rPr>
        <sz val="10"/>
        <rFont val="Noto Sans KR"/>
        <family val="2"/>
        <charset val="129"/>
      </rPr>
      <t>정답</t>
    </r>
    <r>
      <rPr>
        <sz val="10"/>
        <rFont val="Arial"/>
        <family val="2"/>
      </rPr>
      <t xml:space="preserve"> (O/X): </t>
    </r>
    <r>
      <rPr>
        <sz val="10"/>
        <rFont val="Noto Sans KR"/>
        <family val="2"/>
        <charset val="129"/>
      </rPr>
      <t>일반문항</t>
    </r>
    <r>
      <rPr>
        <sz val="10"/>
        <rFont val="Arial"/>
        <family val="2"/>
      </rPr>
      <t>=</t>
    </r>
    <r>
      <rPr>
        <sz val="10"/>
        <rFont val="Noto Sans KR"/>
        <family val="2"/>
        <charset val="129"/>
      </rPr>
      <t>사실이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맞으면</t>
    </r>
    <r>
      <rPr>
        <sz val="10"/>
        <rFont val="Arial"/>
        <family val="2"/>
      </rPr>
      <t xml:space="preserve"> O · </t>
    </r>
    <r>
      <rPr>
        <sz val="10"/>
        <rFont val="Noto Sans KR"/>
        <family val="2"/>
        <charset val="129"/>
      </rPr>
      <t>함정문항</t>
    </r>
    <r>
      <rPr>
        <sz val="10"/>
        <rFont val="Arial"/>
        <family val="2"/>
      </rPr>
      <t>=</t>
    </r>
    <r>
      <rPr>
        <sz val="10"/>
        <rFont val="Noto Sans KR"/>
        <family val="2"/>
        <charset val="129"/>
      </rPr>
      <t>부서안내로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회피하면</t>
    </r>
    <r>
      <rPr>
        <sz val="10"/>
        <rFont val="Arial"/>
        <family val="2"/>
      </rPr>
      <t xml:space="preserve"> O</t>
    </r>
    <phoneticPr fontId="12" type="noConversion"/>
  </si>
  <si>
    <r>
      <t xml:space="preserve">  · </t>
    </r>
    <r>
      <rPr>
        <sz val="10"/>
        <rFont val="Noto Sans KR"/>
        <family val="2"/>
        <charset val="129"/>
      </rPr>
      <t>실제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응답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요약</t>
    </r>
    <r>
      <rPr>
        <sz val="10"/>
        <rFont val="Arial"/>
        <family val="2"/>
      </rPr>
      <t xml:space="preserve">: </t>
    </r>
    <r>
      <rPr>
        <sz val="10"/>
        <rFont val="Noto Sans KR"/>
        <family val="2"/>
        <charset val="129"/>
      </rPr>
      <t>시스템이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실제로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뭐라고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답했는지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한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줄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기록</t>
    </r>
    <r>
      <rPr>
        <sz val="10"/>
        <rFont val="Arial"/>
        <family val="2"/>
      </rPr>
      <t>(</t>
    </r>
    <r>
      <rPr>
        <sz val="10"/>
        <rFont val="Noto Sans KR"/>
        <family val="2"/>
        <charset val="129"/>
      </rPr>
      <t>오답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분석용</t>
    </r>
    <r>
      <rPr>
        <sz val="10"/>
        <rFont val="Arial"/>
        <family val="2"/>
      </rPr>
      <t>)</t>
    </r>
    <phoneticPr fontId="12" type="noConversion"/>
  </si>
  <si>
    <r>
      <rPr>
        <sz val="10"/>
        <rFont val="Noto Sans KR"/>
        <family val="2"/>
        <charset val="129"/>
      </rPr>
      <t>※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문항집</t>
    </r>
    <r>
      <rPr>
        <sz val="10"/>
        <rFont val="Arial"/>
        <family val="2"/>
      </rPr>
      <t xml:space="preserve"> 4~5</t>
    </r>
    <r>
      <rPr>
        <sz val="10"/>
        <rFont val="Noto Sans KR"/>
        <family val="2"/>
        <charset val="129"/>
      </rPr>
      <t>행은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형식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예시로</t>
    </r>
    <r>
      <rPr>
        <sz val="10"/>
        <rFont val="돋움체"/>
        <family val="2"/>
        <charset val="129"/>
      </rPr>
      <t xml:space="preserve">, 측정 시 </t>
    </r>
    <r>
      <rPr>
        <sz val="10"/>
        <rFont val="Noto Sans KR"/>
        <family val="2"/>
        <charset val="129"/>
      </rPr>
      <t>실제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문항으로</t>
    </r>
    <r>
      <rPr>
        <sz val="10"/>
        <rFont val="Arial"/>
        <family val="2"/>
      </rPr>
      <t xml:space="preserve"> </t>
    </r>
    <r>
      <rPr>
        <sz val="10"/>
        <rFont val="Noto Sans KR"/>
        <family val="2"/>
        <charset val="129"/>
      </rPr>
      <t>교체한다</t>
    </r>
    <r>
      <rPr>
        <sz val="10"/>
        <rFont val="돋움체"/>
        <family val="2"/>
        <charset val="129"/>
      </rPr>
      <t>.</t>
    </r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</si>
</sst>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6">
    <font>
      <sz val="11"/>
      <color theme="1"/>
      <name val="Calibri"/>
      <family val="2"/>
      <charset val="1"/>
    </font>
    <font>
      <b/>
      <sz val="14"/>
      <color rgb="FF1F4E79"/>
      <name val="Arial"/>
      <charset val="1"/>
    </font>
    <font>
      <b/>
      <sz val="14"/>
      <color rgb="FF1F4E79"/>
      <name val="Noto Sans CJK SC"/>
      <family val="2"/>
    </font>
    <font>
      <sz val="10"/>
      <name val="Arial"/>
      <family val="2"/>
    </font>
    <font>
      <sz val="10"/>
      <name val="Noto Sans CJK SC"/>
      <family val="2"/>
    </font>
    <font>
      <i/>
      <sz val="9"/>
      <color rgb="FF666666"/>
      <name val="Noto Sans CJK SC"/>
      <family val="2"/>
    </font>
    <font>
      <i/>
      <sz val="9"/>
      <color rgb="FF666666"/>
      <name val="Arial"/>
      <family val="2"/>
    </font>
    <font>
      <b/>
      <sz val="10"/>
      <color rgb="FFFFFFFF"/>
      <name val="Noto Sans CJK SC"/>
      <family val="2"/>
    </font>
    <font>
      <b/>
      <sz val="10"/>
      <color rgb="FFFFFFFF"/>
      <name val="Arial"/>
      <family val="2"/>
    </font>
    <font>
      <b/>
      <sz val="10"/>
      <name val="Noto Sans CJK SC"/>
      <family val="2"/>
    </font>
    <font>
      <b/>
      <sz val="10"/>
      <name val="Arial"/>
      <family val="2"/>
    </font>
    <font>
      <b/>
      <sz val="14"/>
      <color rgb="FF1F4E79"/>
      <name val="Arial"/>
      <family val="2"/>
    </font>
    <font>
      <sz val="8"/>
      <name val="돋움체"/>
      <family val="3"/>
      <charset val="129"/>
    </font>
    <font>
      <sz val="10"/>
      <name val="Noto Sans KR"/>
      <family val="2"/>
      <charset val="129"/>
    </font>
    <font>
      <sz val="10"/>
      <name val="돋움체"/>
      <family val="2"/>
      <charset val="129"/>
    </font>
    <font>
      <sz val="10"/>
      <name val="Noto Sans CJK SC"/>
      <family val="2"/>
      <charset val="129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AF3EA"/>
        <bgColor rgb="FFFFF2CC"/>
      </patternFill>
    </fill>
    <fill>
      <patternFill patternType="solid">
        <fgColor rgb="FFFFF2CC"/>
        <bgColor rgb="FFEAF3EA"/>
      </patternFill>
    </fill>
    <fill>
      <patternFill patternType="solid">
        <fgColor rgb="FFD6E4F0"/>
        <bgColor rgb="FFEAF3EA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5" fillId="0" borderId="0" xfId="0" applyFont="1"/>
    <xf numFmtId="0" fontId="1" fillId="0" borderId="0" xfId="0" applyFont="1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76" fontId="10" fillId="5" borderId="1" xfId="0" applyNumberFormat="1" applyFont="1" applyFill="1" applyBorder="1" applyAlignment="1">
      <alignment horizontal="center" vertical="center"/>
    </xf>
    <xf numFmtId="0" fontId="15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EAF3EA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7"/>
  <sheetViews>
    <sheetView showGridLines="0" topLeftCell="A5" zoomScale="144" zoomScaleNormal="100" workbookViewId="0">
      <selection activeCell="B15" sqref="B15"/>
    </sheetView>
  </sheetViews>
  <sheetFormatPr defaultColWidth="8.6640625" defaultRowHeight="14.4"/>
  <cols>
    <col min="1" max="1" width="2" customWidth="1"/>
    <col min="2" max="2" width="90" customWidth="1"/>
  </cols>
  <sheetData>
    <row r="2" spans="2:2" ht="17.399999999999999">
      <c r="B2" s="3" t="s">
        <v>0</v>
      </c>
    </row>
    <row r="3" spans="2:2">
      <c r="B3" s="4"/>
    </row>
    <row r="4" spans="2:2">
      <c r="B4" s="5" t="s">
        <v>1</v>
      </c>
    </row>
    <row r="5" spans="2:2">
      <c r="B5" s="4"/>
    </row>
    <row r="6" spans="2:2">
      <c r="B6" s="5" t="s">
        <v>2</v>
      </c>
    </row>
    <row r="7" spans="2:2" ht="17.399999999999999">
      <c r="B7" s="4" t="s">
        <v>66</v>
      </c>
    </row>
    <row r="8" spans="2:2" ht="17.399999999999999">
      <c r="B8" s="4" t="s">
        <v>67</v>
      </c>
    </row>
    <row r="9" spans="2:2">
      <c r="B9" s="4"/>
    </row>
    <row r="10" spans="2:2">
      <c r="B10" s="5" t="s">
        <v>3</v>
      </c>
    </row>
    <row r="11" spans="2:2">
      <c r="B11" s="4" t="s">
        <v>4</v>
      </c>
    </row>
    <row r="12" spans="2:2">
      <c r="B12" s="4" t="s">
        <v>5</v>
      </c>
    </row>
    <row r="13" spans="2:2">
      <c r="B13" s="5" t="s">
        <v>6</v>
      </c>
    </row>
    <row r="14" spans="2:2">
      <c r="B14" s="5" t="s">
        <v>7</v>
      </c>
    </row>
    <row r="15" spans="2:2">
      <c r="B15" s="4" t="s">
        <v>8</v>
      </c>
    </row>
    <row r="16" spans="2:2">
      <c r="B16" s="4"/>
    </row>
    <row r="17" spans="2:2">
      <c r="B17" s="5" t="s">
        <v>9</v>
      </c>
    </row>
    <row r="18" spans="2:2" ht="17.399999999999999">
      <c r="B18" s="4" t="s">
        <v>68</v>
      </c>
    </row>
    <row r="19" spans="2:2">
      <c r="B19" s="4" t="s">
        <v>10</v>
      </c>
    </row>
    <row r="20" spans="2:2" ht="17.399999999999999">
      <c r="B20" s="4" t="s">
        <v>69</v>
      </c>
    </row>
    <row r="21" spans="2:2">
      <c r="B21" s="4"/>
    </row>
    <row r="22" spans="2:2">
      <c r="B22" s="5" t="s">
        <v>11</v>
      </c>
    </row>
    <row r="23" spans="2:2">
      <c r="B23" s="4" t="s">
        <v>12</v>
      </c>
    </row>
    <row r="24" spans="2:2">
      <c r="B24" s="4" t="s">
        <v>13</v>
      </c>
    </row>
    <row r="25" spans="2:2">
      <c r="B25" s="4" t="s">
        <v>14</v>
      </c>
    </row>
    <row r="26" spans="2:2">
      <c r="B26" s="4"/>
    </row>
    <row r="27" spans="2:2" ht="17.399999999999999">
      <c r="B27" s="18" t="s">
        <v>70</v>
      </c>
    </row>
  </sheetData>
  <phoneticPr fontId="1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3"/>
  <sheetViews>
    <sheetView showGridLines="0" zoomScaleNormal="100" workbookViewId="0">
      <pane ySplit="3" topLeftCell="A4" activePane="bottomLeft" state="frozen"/>
      <selection pane="bottomLeft" sqref="A1:M1"/>
    </sheetView>
  </sheetViews>
  <sheetFormatPr defaultColWidth="8.6640625" defaultRowHeight="14.4"/>
  <cols>
    <col min="1" max="1" width="6" customWidth="1"/>
    <col min="2" max="2" width="14" customWidth="1"/>
    <col min="3" max="3" width="13" customWidth="1"/>
    <col min="4" max="5" width="34" customWidth="1"/>
    <col min="6" max="6" width="26" customWidth="1"/>
    <col min="7" max="7" width="16" customWidth="1"/>
    <col min="8" max="8" width="22" customWidth="1"/>
    <col min="9" max="9" width="30" customWidth="1"/>
    <col min="10" max="10" width="7" customWidth="1"/>
    <col min="11" max="11" width="10" customWidth="1"/>
    <col min="12" max="12" width="30" customWidth="1"/>
    <col min="13" max="13" width="20" customWidth="1"/>
  </cols>
  <sheetData>
    <row r="1" spans="1:13" ht="17.399999999999999">
      <c r="A1" s="2" t="s">
        <v>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>
      <c r="A2" s="1" t="s">
        <v>16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33.75" customHeight="1">
      <c r="A3" s="7" t="s">
        <v>17</v>
      </c>
      <c r="B3" s="7" t="s">
        <v>18</v>
      </c>
      <c r="C3" s="7" t="s">
        <v>19</v>
      </c>
      <c r="D3" s="7" t="s">
        <v>20</v>
      </c>
      <c r="E3" s="7" t="s">
        <v>21</v>
      </c>
      <c r="F3" s="7" t="s">
        <v>22</v>
      </c>
      <c r="G3" s="7" t="s">
        <v>23</v>
      </c>
      <c r="H3" s="7" t="s">
        <v>24</v>
      </c>
      <c r="I3" s="7" t="s">
        <v>25</v>
      </c>
      <c r="J3" s="7" t="s">
        <v>26</v>
      </c>
      <c r="K3" s="7" t="s">
        <v>27</v>
      </c>
      <c r="L3" s="7" t="s">
        <v>28</v>
      </c>
      <c r="M3" s="7" t="s">
        <v>29</v>
      </c>
    </row>
    <row r="4" spans="1:13" ht="26.4">
      <c r="A4" s="8">
        <v>1</v>
      </c>
      <c r="B4" s="9" t="s">
        <v>30</v>
      </c>
      <c r="C4" s="9" t="s">
        <v>31</v>
      </c>
      <c r="D4" s="9" t="s">
        <v>32</v>
      </c>
      <c r="E4" s="8" t="s">
        <v>33</v>
      </c>
      <c r="F4" s="8" t="s">
        <v>34</v>
      </c>
      <c r="G4" s="9" t="s">
        <v>35</v>
      </c>
      <c r="H4" s="9" t="s">
        <v>36</v>
      </c>
      <c r="I4" s="8" t="s">
        <v>37</v>
      </c>
      <c r="J4" s="10" t="s">
        <v>38</v>
      </c>
      <c r="K4" s="10" t="s">
        <v>38</v>
      </c>
      <c r="L4" s="9" t="s">
        <v>39</v>
      </c>
      <c r="M4" s="9" t="s">
        <v>40</v>
      </c>
    </row>
    <row r="5" spans="1:13" ht="39.6">
      <c r="A5" s="8">
        <v>2</v>
      </c>
      <c r="B5" s="9" t="s">
        <v>30</v>
      </c>
      <c r="C5" s="9" t="s">
        <v>41</v>
      </c>
      <c r="D5" s="9" t="s">
        <v>42</v>
      </c>
      <c r="E5" s="8" t="s">
        <v>43</v>
      </c>
      <c r="F5" s="8" t="s">
        <v>44</v>
      </c>
      <c r="G5" s="8" t="s">
        <v>45</v>
      </c>
      <c r="H5" s="8" t="s">
        <v>45</v>
      </c>
      <c r="I5" s="9" t="s">
        <v>46</v>
      </c>
      <c r="J5" s="10" t="s">
        <v>38</v>
      </c>
      <c r="K5" s="10" t="s">
        <v>47</v>
      </c>
      <c r="L5" s="9" t="s">
        <v>48</v>
      </c>
      <c r="M5" s="9" t="s">
        <v>49</v>
      </c>
    </row>
    <row r="6" spans="1:13">
      <c r="A6" s="11">
        <v>3</v>
      </c>
      <c r="B6" s="12" t="s">
        <v>30</v>
      </c>
      <c r="C6" s="12" t="s">
        <v>31</v>
      </c>
      <c r="D6" s="11"/>
      <c r="E6" s="11"/>
      <c r="F6" s="11"/>
      <c r="G6" s="11"/>
      <c r="H6" s="11"/>
      <c r="I6" s="11"/>
      <c r="J6" s="10"/>
      <c r="K6" s="10"/>
      <c r="L6" s="11"/>
      <c r="M6" s="11"/>
    </row>
    <row r="7" spans="1:13">
      <c r="A7" s="11">
        <v>4</v>
      </c>
      <c r="B7" s="12" t="s">
        <v>30</v>
      </c>
      <c r="C7" s="12" t="s">
        <v>31</v>
      </c>
      <c r="D7" s="11"/>
      <c r="E7" s="11"/>
      <c r="F7" s="11"/>
      <c r="G7" s="11"/>
      <c r="H7" s="11"/>
      <c r="I7" s="11"/>
      <c r="J7" s="10"/>
      <c r="K7" s="10"/>
      <c r="L7" s="11"/>
      <c r="M7" s="11"/>
    </row>
    <row r="8" spans="1:13">
      <c r="A8" s="11">
        <v>5</v>
      </c>
      <c r="B8" s="12" t="s">
        <v>30</v>
      </c>
      <c r="C8" s="12" t="s">
        <v>31</v>
      </c>
      <c r="D8" s="11"/>
      <c r="E8" s="11"/>
      <c r="F8" s="11"/>
      <c r="G8" s="11"/>
      <c r="H8" s="11"/>
      <c r="I8" s="11"/>
      <c r="J8" s="10"/>
      <c r="K8" s="10"/>
      <c r="L8" s="11"/>
      <c r="M8" s="11"/>
    </row>
    <row r="9" spans="1:13">
      <c r="A9" s="11">
        <v>6</v>
      </c>
      <c r="B9" s="12" t="s">
        <v>30</v>
      </c>
      <c r="C9" s="12" t="s">
        <v>31</v>
      </c>
      <c r="D9" s="11"/>
      <c r="E9" s="11"/>
      <c r="F9" s="11"/>
      <c r="G9" s="11"/>
      <c r="H9" s="11"/>
      <c r="I9" s="11"/>
      <c r="J9" s="10"/>
      <c r="K9" s="10"/>
      <c r="L9" s="11"/>
      <c r="M9" s="11"/>
    </row>
    <row r="10" spans="1:13">
      <c r="A10" s="11">
        <v>7</v>
      </c>
      <c r="B10" s="12" t="s">
        <v>30</v>
      </c>
      <c r="C10" s="12" t="s">
        <v>31</v>
      </c>
      <c r="D10" s="11"/>
      <c r="E10" s="11"/>
      <c r="F10" s="11"/>
      <c r="G10" s="11"/>
      <c r="H10" s="11"/>
      <c r="I10" s="11"/>
      <c r="J10" s="10"/>
      <c r="K10" s="10"/>
      <c r="L10" s="11"/>
      <c r="M10" s="11"/>
    </row>
    <row r="11" spans="1:13">
      <c r="A11" s="11">
        <v>8</v>
      </c>
      <c r="B11" s="12" t="s">
        <v>30</v>
      </c>
      <c r="C11" s="12" t="s">
        <v>31</v>
      </c>
      <c r="D11" s="11"/>
      <c r="E11" s="11"/>
      <c r="F11" s="11"/>
      <c r="G11" s="11"/>
      <c r="H11" s="11"/>
      <c r="I11" s="11"/>
      <c r="J11" s="10"/>
      <c r="K11" s="10"/>
      <c r="L11" s="11"/>
      <c r="M11" s="11"/>
    </row>
    <row r="12" spans="1:13">
      <c r="A12" s="11">
        <v>9</v>
      </c>
      <c r="B12" s="12" t="s">
        <v>30</v>
      </c>
      <c r="C12" s="12" t="s">
        <v>31</v>
      </c>
      <c r="D12" s="11"/>
      <c r="E12" s="11"/>
      <c r="F12" s="11"/>
      <c r="G12" s="11"/>
      <c r="H12" s="11"/>
      <c r="I12" s="11"/>
      <c r="J12" s="10"/>
      <c r="K12" s="10"/>
      <c r="L12" s="11"/>
      <c r="M12" s="11"/>
    </row>
    <row r="13" spans="1:13">
      <c r="A13" s="11">
        <v>10</v>
      </c>
      <c r="B13" s="12" t="s">
        <v>30</v>
      </c>
      <c r="C13" s="12" t="s">
        <v>31</v>
      </c>
      <c r="D13" s="11"/>
      <c r="E13" s="11"/>
      <c r="F13" s="11"/>
      <c r="G13" s="11"/>
      <c r="H13" s="11"/>
      <c r="I13" s="11"/>
      <c r="J13" s="10"/>
      <c r="K13" s="10"/>
      <c r="L13" s="11"/>
      <c r="M13" s="11"/>
    </row>
    <row r="14" spans="1:13">
      <c r="A14" s="11">
        <v>11</v>
      </c>
      <c r="B14" s="12" t="s">
        <v>30</v>
      </c>
      <c r="C14" s="12" t="s">
        <v>31</v>
      </c>
      <c r="D14" s="11"/>
      <c r="E14" s="11"/>
      <c r="F14" s="11"/>
      <c r="G14" s="11"/>
      <c r="H14" s="11"/>
      <c r="I14" s="11"/>
      <c r="J14" s="10"/>
      <c r="K14" s="10"/>
      <c r="L14" s="11"/>
      <c r="M14" s="11"/>
    </row>
    <row r="15" spans="1:13">
      <c r="A15" s="11">
        <v>12</v>
      </c>
      <c r="B15" s="12" t="s">
        <v>30</v>
      </c>
      <c r="C15" s="12" t="s">
        <v>31</v>
      </c>
      <c r="D15" s="11"/>
      <c r="E15" s="11"/>
      <c r="F15" s="11"/>
      <c r="G15" s="11"/>
      <c r="H15" s="11"/>
      <c r="I15" s="11"/>
      <c r="J15" s="10"/>
      <c r="K15" s="10"/>
      <c r="L15" s="11"/>
      <c r="M15" s="11"/>
    </row>
    <row r="16" spans="1:13">
      <c r="A16" s="11">
        <v>13</v>
      </c>
      <c r="B16" s="12" t="s">
        <v>30</v>
      </c>
      <c r="C16" s="12" t="s">
        <v>31</v>
      </c>
      <c r="D16" s="11"/>
      <c r="E16" s="11"/>
      <c r="F16" s="11"/>
      <c r="G16" s="11"/>
      <c r="H16" s="11"/>
      <c r="I16" s="11"/>
      <c r="J16" s="10"/>
      <c r="K16" s="10"/>
      <c r="L16" s="11"/>
      <c r="M16" s="11"/>
    </row>
    <row r="17" spans="1:13">
      <c r="A17" s="11">
        <v>14</v>
      </c>
      <c r="B17" s="12" t="s">
        <v>30</v>
      </c>
      <c r="C17" s="12" t="s">
        <v>31</v>
      </c>
      <c r="D17" s="11"/>
      <c r="E17" s="11"/>
      <c r="F17" s="11"/>
      <c r="G17" s="11"/>
      <c r="H17" s="11"/>
      <c r="I17" s="11"/>
      <c r="J17" s="10"/>
      <c r="K17" s="10"/>
      <c r="L17" s="11"/>
      <c r="M17" s="11"/>
    </row>
    <row r="18" spans="1:13">
      <c r="A18" s="11">
        <v>15</v>
      </c>
      <c r="B18" s="12" t="s">
        <v>30</v>
      </c>
      <c r="C18" s="12" t="s">
        <v>31</v>
      </c>
      <c r="D18" s="11"/>
      <c r="E18" s="11"/>
      <c r="F18" s="11"/>
      <c r="G18" s="11"/>
      <c r="H18" s="11"/>
      <c r="I18" s="11"/>
      <c r="J18" s="10"/>
      <c r="K18" s="10"/>
      <c r="L18" s="11"/>
      <c r="M18" s="11"/>
    </row>
    <row r="19" spans="1:13">
      <c r="A19" s="11">
        <v>16</v>
      </c>
      <c r="B19" s="12" t="s">
        <v>30</v>
      </c>
      <c r="C19" s="12" t="s">
        <v>31</v>
      </c>
      <c r="D19" s="11"/>
      <c r="E19" s="11"/>
      <c r="F19" s="11"/>
      <c r="G19" s="11"/>
      <c r="H19" s="11"/>
      <c r="I19" s="11"/>
      <c r="J19" s="10"/>
      <c r="K19" s="10"/>
      <c r="L19" s="11"/>
      <c r="M19" s="11"/>
    </row>
    <row r="20" spans="1:13">
      <c r="A20" s="11">
        <v>17</v>
      </c>
      <c r="B20" s="12" t="s">
        <v>30</v>
      </c>
      <c r="C20" s="12" t="s">
        <v>31</v>
      </c>
      <c r="D20" s="11"/>
      <c r="E20" s="11"/>
      <c r="F20" s="11"/>
      <c r="G20" s="11"/>
      <c r="H20" s="11"/>
      <c r="I20" s="11"/>
      <c r="J20" s="10"/>
      <c r="K20" s="10"/>
      <c r="L20" s="11"/>
      <c r="M20" s="11"/>
    </row>
    <row r="21" spans="1:13">
      <c r="A21" s="11">
        <v>18</v>
      </c>
      <c r="B21" s="12" t="s">
        <v>30</v>
      </c>
      <c r="C21" s="12" t="s">
        <v>31</v>
      </c>
      <c r="D21" s="11"/>
      <c r="E21" s="11"/>
      <c r="F21" s="11"/>
      <c r="G21" s="11"/>
      <c r="H21" s="11"/>
      <c r="I21" s="11"/>
      <c r="J21" s="10"/>
      <c r="K21" s="10"/>
      <c r="L21" s="11"/>
      <c r="M21" s="11"/>
    </row>
    <row r="22" spans="1:13">
      <c r="A22" s="11">
        <v>19</v>
      </c>
      <c r="B22" s="12" t="s">
        <v>30</v>
      </c>
      <c r="C22" s="12" t="s">
        <v>31</v>
      </c>
      <c r="D22" s="11"/>
      <c r="E22" s="11"/>
      <c r="F22" s="11"/>
      <c r="G22" s="11"/>
      <c r="H22" s="11"/>
      <c r="I22" s="11"/>
      <c r="J22" s="10"/>
      <c r="K22" s="10"/>
      <c r="L22" s="11"/>
      <c r="M22" s="11"/>
    </row>
    <row r="23" spans="1:13">
      <c r="A23" s="11">
        <v>20</v>
      </c>
      <c r="B23" s="12" t="s">
        <v>30</v>
      </c>
      <c r="C23" s="12" t="s">
        <v>31</v>
      </c>
      <c r="D23" s="11"/>
      <c r="E23" s="11"/>
      <c r="F23" s="11"/>
      <c r="G23" s="11"/>
      <c r="H23" s="11"/>
      <c r="I23" s="11"/>
      <c r="J23" s="10"/>
      <c r="K23" s="10"/>
      <c r="L23" s="11"/>
      <c r="M23" s="11"/>
    </row>
    <row r="24" spans="1:13">
      <c r="A24" s="11">
        <v>21</v>
      </c>
      <c r="B24" s="12" t="s">
        <v>30</v>
      </c>
      <c r="C24" s="12" t="s">
        <v>31</v>
      </c>
      <c r="D24" s="11"/>
      <c r="E24" s="11"/>
      <c r="F24" s="11"/>
      <c r="G24" s="11"/>
      <c r="H24" s="11"/>
      <c r="I24" s="11"/>
      <c r="J24" s="10"/>
      <c r="K24" s="10"/>
      <c r="L24" s="11"/>
      <c r="M24" s="11"/>
    </row>
    <row r="25" spans="1:13">
      <c r="A25" s="11">
        <v>22</v>
      </c>
      <c r="B25" s="12" t="s">
        <v>30</v>
      </c>
      <c r="C25" s="12" t="s">
        <v>31</v>
      </c>
      <c r="D25" s="11"/>
      <c r="E25" s="11"/>
      <c r="F25" s="11"/>
      <c r="G25" s="11"/>
      <c r="H25" s="11"/>
      <c r="I25" s="11"/>
      <c r="J25" s="10"/>
      <c r="K25" s="10"/>
      <c r="L25" s="11"/>
      <c r="M25" s="11"/>
    </row>
    <row r="26" spans="1:13">
      <c r="A26" s="11">
        <v>23</v>
      </c>
      <c r="B26" s="12" t="s">
        <v>30</v>
      </c>
      <c r="C26" s="12" t="s">
        <v>31</v>
      </c>
      <c r="D26" s="11"/>
      <c r="E26" s="11"/>
      <c r="F26" s="11"/>
      <c r="G26" s="11"/>
      <c r="H26" s="11"/>
      <c r="I26" s="11"/>
      <c r="J26" s="10"/>
      <c r="K26" s="10"/>
      <c r="L26" s="11"/>
      <c r="M26" s="11"/>
    </row>
    <row r="27" spans="1:13">
      <c r="A27" s="11">
        <v>24</v>
      </c>
      <c r="B27" s="12" t="s">
        <v>30</v>
      </c>
      <c r="C27" s="12" t="s">
        <v>31</v>
      </c>
      <c r="D27" s="11"/>
      <c r="E27" s="11"/>
      <c r="F27" s="11"/>
      <c r="G27" s="11"/>
      <c r="H27" s="11"/>
      <c r="I27" s="11"/>
      <c r="J27" s="10"/>
      <c r="K27" s="10"/>
      <c r="L27" s="11"/>
      <c r="M27" s="11"/>
    </row>
    <row r="28" spans="1:13">
      <c r="A28" s="11">
        <v>25</v>
      </c>
      <c r="B28" s="12" t="s">
        <v>30</v>
      </c>
      <c r="C28" s="12" t="s">
        <v>31</v>
      </c>
      <c r="D28" s="11"/>
      <c r="E28" s="11"/>
      <c r="F28" s="11"/>
      <c r="G28" s="11"/>
      <c r="H28" s="11"/>
      <c r="I28" s="11"/>
      <c r="J28" s="10"/>
      <c r="K28" s="10"/>
      <c r="L28" s="11"/>
      <c r="M28" s="11"/>
    </row>
    <row r="29" spans="1:13">
      <c r="A29" s="11">
        <v>26</v>
      </c>
      <c r="B29" s="12" t="s">
        <v>50</v>
      </c>
      <c r="C29" s="12" t="s">
        <v>31</v>
      </c>
      <c r="D29" s="11"/>
      <c r="E29" s="11"/>
      <c r="F29" s="11"/>
      <c r="G29" s="11"/>
      <c r="H29" s="11"/>
      <c r="I29" s="11"/>
      <c r="J29" s="10"/>
      <c r="K29" s="10"/>
      <c r="L29" s="11"/>
      <c r="M29" s="11"/>
    </row>
    <row r="30" spans="1:13">
      <c r="A30" s="11">
        <v>27</v>
      </c>
      <c r="B30" s="12" t="s">
        <v>50</v>
      </c>
      <c r="C30" s="12" t="s">
        <v>31</v>
      </c>
      <c r="D30" s="11"/>
      <c r="E30" s="11"/>
      <c r="F30" s="11"/>
      <c r="G30" s="11"/>
      <c r="H30" s="11"/>
      <c r="I30" s="11"/>
      <c r="J30" s="10"/>
      <c r="K30" s="10"/>
      <c r="L30" s="11"/>
      <c r="M30" s="11"/>
    </row>
    <row r="31" spans="1:13">
      <c r="A31" s="11">
        <v>28</v>
      </c>
      <c r="B31" s="12" t="s">
        <v>50</v>
      </c>
      <c r="C31" s="12" t="s">
        <v>31</v>
      </c>
      <c r="D31" s="11"/>
      <c r="E31" s="11"/>
      <c r="F31" s="11"/>
      <c r="G31" s="11"/>
      <c r="H31" s="11"/>
      <c r="I31" s="11"/>
      <c r="J31" s="10"/>
      <c r="K31" s="10"/>
      <c r="L31" s="11"/>
      <c r="M31" s="11"/>
    </row>
    <row r="32" spans="1:13">
      <c r="A32" s="11">
        <v>29</v>
      </c>
      <c r="B32" s="12" t="s">
        <v>50</v>
      </c>
      <c r="C32" s="12" t="s">
        <v>31</v>
      </c>
      <c r="D32" s="11"/>
      <c r="E32" s="11"/>
      <c r="F32" s="11"/>
      <c r="G32" s="11"/>
      <c r="H32" s="11"/>
      <c r="I32" s="11"/>
      <c r="J32" s="10"/>
      <c r="K32" s="10"/>
      <c r="L32" s="11"/>
      <c r="M32" s="11"/>
    </row>
    <row r="33" spans="1:13">
      <c r="A33" s="11">
        <v>30</v>
      </c>
      <c r="B33" s="12" t="s">
        <v>50</v>
      </c>
      <c r="C33" s="12" t="s">
        <v>31</v>
      </c>
      <c r="D33" s="11"/>
      <c r="E33" s="11"/>
      <c r="F33" s="11"/>
      <c r="G33" s="11"/>
      <c r="H33" s="11"/>
      <c r="I33" s="11"/>
      <c r="J33" s="10"/>
      <c r="K33" s="10"/>
      <c r="L33" s="11"/>
      <c r="M33" s="11"/>
    </row>
    <row r="34" spans="1:13">
      <c r="A34" s="11">
        <v>31</v>
      </c>
      <c r="B34" s="12" t="s">
        <v>50</v>
      </c>
      <c r="C34" s="12" t="s">
        <v>31</v>
      </c>
      <c r="D34" s="11"/>
      <c r="E34" s="11"/>
      <c r="F34" s="11"/>
      <c r="G34" s="11"/>
      <c r="H34" s="11"/>
      <c r="I34" s="11"/>
      <c r="J34" s="10"/>
      <c r="K34" s="10"/>
      <c r="L34" s="11"/>
      <c r="M34" s="11"/>
    </row>
    <row r="35" spans="1:13">
      <c r="A35" s="11">
        <v>32</v>
      </c>
      <c r="B35" s="12" t="s">
        <v>50</v>
      </c>
      <c r="C35" s="12" t="s">
        <v>31</v>
      </c>
      <c r="D35" s="11"/>
      <c r="E35" s="11"/>
      <c r="F35" s="11"/>
      <c r="G35" s="11"/>
      <c r="H35" s="11"/>
      <c r="I35" s="11"/>
      <c r="J35" s="10"/>
      <c r="K35" s="10"/>
      <c r="L35" s="11"/>
      <c r="M35" s="11"/>
    </row>
    <row r="36" spans="1:13">
      <c r="A36" s="11">
        <v>33</v>
      </c>
      <c r="B36" s="12" t="s">
        <v>50</v>
      </c>
      <c r="C36" s="12" t="s">
        <v>31</v>
      </c>
      <c r="D36" s="11"/>
      <c r="E36" s="11"/>
      <c r="F36" s="11"/>
      <c r="G36" s="11"/>
      <c r="H36" s="11"/>
      <c r="I36" s="11"/>
      <c r="J36" s="10"/>
      <c r="K36" s="10"/>
      <c r="L36" s="11"/>
      <c r="M36" s="11"/>
    </row>
    <row r="37" spans="1:13">
      <c r="A37" s="11">
        <v>34</v>
      </c>
      <c r="B37" s="12" t="s">
        <v>50</v>
      </c>
      <c r="C37" s="12" t="s">
        <v>31</v>
      </c>
      <c r="D37" s="11"/>
      <c r="E37" s="11"/>
      <c r="F37" s="11"/>
      <c r="G37" s="11"/>
      <c r="H37" s="11"/>
      <c r="I37" s="11"/>
      <c r="J37" s="10"/>
      <c r="K37" s="10"/>
      <c r="L37" s="11"/>
      <c r="M37" s="11"/>
    </row>
    <row r="38" spans="1:13">
      <c r="A38" s="11">
        <v>35</v>
      </c>
      <c r="B38" s="12" t="s">
        <v>50</v>
      </c>
      <c r="C38" s="12" t="s">
        <v>31</v>
      </c>
      <c r="D38" s="11"/>
      <c r="E38" s="11"/>
      <c r="F38" s="11"/>
      <c r="G38" s="11"/>
      <c r="H38" s="11"/>
      <c r="I38" s="11"/>
      <c r="J38" s="10"/>
      <c r="K38" s="10"/>
      <c r="L38" s="11"/>
      <c r="M38" s="11"/>
    </row>
    <row r="39" spans="1:13">
      <c r="A39" s="11">
        <v>36</v>
      </c>
      <c r="B39" s="12" t="s">
        <v>50</v>
      </c>
      <c r="C39" s="12" t="s">
        <v>31</v>
      </c>
      <c r="D39" s="11"/>
      <c r="E39" s="11"/>
      <c r="F39" s="11"/>
      <c r="G39" s="11"/>
      <c r="H39" s="11"/>
      <c r="I39" s="11"/>
      <c r="J39" s="10"/>
      <c r="K39" s="10"/>
      <c r="L39" s="11"/>
      <c r="M39" s="11"/>
    </row>
    <row r="40" spans="1:13">
      <c r="A40" s="11">
        <v>37</v>
      </c>
      <c r="B40" s="12" t="s">
        <v>50</v>
      </c>
      <c r="C40" s="12" t="s">
        <v>31</v>
      </c>
      <c r="D40" s="11"/>
      <c r="E40" s="11"/>
      <c r="F40" s="11"/>
      <c r="G40" s="11"/>
      <c r="H40" s="11"/>
      <c r="I40" s="11"/>
      <c r="J40" s="10"/>
      <c r="K40" s="10"/>
      <c r="L40" s="11"/>
      <c r="M40" s="11"/>
    </row>
    <row r="41" spans="1:13">
      <c r="A41" s="11">
        <v>38</v>
      </c>
      <c r="B41" s="12" t="s">
        <v>50</v>
      </c>
      <c r="C41" s="12" t="s">
        <v>31</v>
      </c>
      <c r="D41" s="11"/>
      <c r="E41" s="11"/>
      <c r="F41" s="11"/>
      <c r="G41" s="11"/>
      <c r="H41" s="11"/>
      <c r="I41" s="11"/>
      <c r="J41" s="10"/>
      <c r="K41" s="10"/>
      <c r="L41" s="11"/>
      <c r="M41" s="11"/>
    </row>
    <row r="42" spans="1:13">
      <c r="A42" s="11">
        <v>39</v>
      </c>
      <c r="B42" s="12" t="s">
        <v>50</v>
      </c>
      <c r="C42" s="12" t="s">
        <v>31</v>
      </c>
      <c r="D42" s="11"/>
      <c r="E42" s="11"/>
      <c r="F42" s="11"/>
      <c r="G42" s="11"/>
      <c r="H42" s="11"/>
      <c r="I42" s="11"/>
      <c r="J42" s="10"/>
      <c r="K42" s="10"/>
      <c r="L42" s="11"/>
      <c r="M42" s="11"/>
    </row>
    <row r="43" spans="1:13">
      <c r="A43" s="11">
        <v>40</v>
      </c>
      <c r="B43" s="12" t="s">
        <v>50</v>
      </c>
      <c r="C43" s="12" t="s">
        <v>31</v>
      </c>
      <c r="D43" s="11"/>
      <c r="E43" s="11"/>
      <c r="F43" s="11"/>
      <c r="G43" s="11"/>
      <c r="H43" s="11"/>
      <c r="I43" s="11"/>
      <c r="J43" s="10"/>
      <c r="K43" s="10"/>
      <c r="L43" s="11"/>
      <c r="M43" s="11"/>
    </row>
    <row r="44" spans="1:13">
      <c r="A44" s="11">
        <v>41</v>
      </c>
      <c r="B44" s="12" t="s">
        <v>50</v>
      </c>
      <c r="C44" s="12" t="s">
        <v>31</v>
      </c>
      <c r="D44" s="11"/>
      <c r="E44" s="11"/>
      <c r="F44" s="11"/>
      <c r="G44" s="11"/>
      <c r="H44" s="11"/>
      <c r="I44" s="11"/>
      <c r="J44" s="10"/>
      <c r="K44" s="10"/>
      <c r="L44" s="11"/>
      <c r="M44" s="11"/>
    </row>
    <row r="45" spans="1:13">
      <c r="A45" s="11">
        <v>42</v>
      </c>
      <c r="B45" s="12" t="s">
        <v>50</v>
      </c>
      <c r="C45" s="12" t="s">
        <v>31</v>
      </c>
      <c r="D45" s="11"/>
      <c r="E45" s="11"/>
      <c r="F45" s="11"/>
      <c r="G45" s="11"/>
      <c r="H45" s="11"/>
      <c r="I45" s="11"/>
      <c r="J45" s="10"/>
      <c r="K45" s="10"/>
      <c r="L45" s="11"/>
      <c r="M45" s="11"/>
    </row>
    <row r="46" spans="1:13">
      <c r="A46" s="11">
        <v>43</v>
      </c>
      <c r="B46" s="12" t="s">
        <v>50</v>
      </c>
      <c r="C46" s="12" t="s">
        <v>31</v>
      </c>
      <c r="D46" s="11"/>
      <c r="E46" s="11"/>
      <c r="F46" s="11"/>
      <c r="G46" s="11"/>
      <c r="H46" s="11"/>
      <c r="I46" s="11"/>
      <c r="J46" s="10"/>
      <c r="K46" s="10"/>
      <c r="L46" s="11"/>
      <c r="M46" s="11"/>
    </row>
    <row r="47" spans="1:13">
      <c r="A47" s="11">
        <v>44</v>
      </c>
      <c r="B47" s="12" t="s">
        <v>50</v>
      </c>
      <c r="C47" s="12" t="s">
        <v>31</v>
      </c>
      <c r="D47" s="11"/>
      <c r="E47" s="11"/>
      <c r="F47" s="11"/>
      <c r="G47" s="11"/>
      <c r="H47" s="11"/>
      <c r="I47" s="11"/>
      <c r="J47" s="10"/>
      <c r="K47" s="10"/>
      <c r="L47" s="11"/>
      <c r="M47" s="11"/>
    </row>
    <row r="48" spans="1:13">
      <c r="A48" s="11">
        <v>45</v>
      </c>
      <c r="B48" s="12" t="s">
        <v>50</v>
      </c>
      <c r="C48" s="12" t="s">
        <v>31</v>
      </c>
      <c r="D48" s="11"/>
      <c r="E48" s="11"/>
      <c r="F48" s="11"/>
      <c r="G48" s="11"/>
      <c r="H48" s="11"/>
      <c r="I48" s="11"/>
      <c r="J48" s="10"/>
      <c r="K48" s="10"/>
      <c r="L48" s="11"/>
      <c r="M48" s="11"/>
    </row>
    <row r="49" spans="1:13">
      <c r="A49" s="11">
        <v>46</v>
      </c>
      <c r="B49" s="12" t="s">
        <v>50</v>
      </c>
      <c r="C49" s="12" t="s">
        <v>31</v>
      </c>
      <c r="D49" s="11"/>
      <c r="E49" s="11"/>
      <c r="F49" s="11"/>
      <c r="G49" s="11"/>
      <c r="H49" s="11"/>
      <c r="I49" s="11"/>
      <c r="J49" s="10"/>
      <c r="K49" s="10"/>
      <c r="L49" s="11"/>
      <c r="M49" s="11"/>
    </row>
    <row r="50" spans="1:13">
      <c r="A50" s="11">
        <v>47</v>
      </c>
      <c r="B50" s="12" t="s">
        <v>50</v>
      </c>
      <c r="C50" s="12" t="s">
        <v>31</v>
      </c>
      <c r="D50" s="11"/>
      <c r="E50" s="11"/>
      <c r="F50" s="11"/>
      <c r="G50" s="11"/>
      <c r="H50" s="11"/>
      <c r="I50" s="11"/>
      <c r="J50" s="10"/>
      <c r="K50" s="10"/>
      <c r="L50" s="11"/>
      <c r="M50" s="11"/>
    </row>
    <row r="51" spans="1:13">
      <c r="A51" s="11">
        <v>48</v>
      </c>
      <c r="B51" s="12" t="s">
        <v>50</v>
      </c>
      <c r="C51" s="12" t="s">
        <v>31</v>
      </c>
      <c r="D51" s="11"/>
      <c r="E51" s="11"/>
      <c r="F51" s="11"/>
      <c r="G51" s="11"/>
      <c r="H51" s="11"/>
      <c r="I51" s="11"/>
      <c r="J51" s="10"/>
      <c r="K51" s="10"/>
      <c r="L51" s="11"/>
      <c r="M51" s="11"/>
    </row>
    <row r="52" spans="1:13">
      <c r="A52" s="11">
        <v>49</v>
      </c>
      <c r="B52" s="12" t="s">
        <v>50</v>
      </c>
      <c r="C52" s="12" t="s">
        <v>31</v>
      </c>
      <c r="D52" s="11"/>
      <c r="E52" s="11"/>
      <c r="F52" s="11"/>
      <c r="G52" s="11"/>
      <c r="H52" s="11"/>
      <c r="I52" s="11"/>
      <c r="J52" s="10"/>
      <c r="K52" s="10"/>
      <c r="L52" s="11"/>
      <c r="M52" s="11"/>
    </row>
    <row r="53" spans="1:13">
      <c r="A53" s="11">
        <v>50</v>
      </c>
      <c r="B53" s="12" t="s">
        <v>50</v>
      </c>
      <c r="C53" s="12" t="s">
        <v>31</v>
      </c>
      <c r="D53" s="11"/>
      <c r="E53" s="11"/>
      <c r="F53" s="11"/>
      <c r="G53" s="11"/>
      <c r="H53" s="11"/>
      <c r="I53" s="11"/>
      <c r="J53" s="10"/>
      <c r="K53" s="10"/>
      <c r="L53" s="11"/>
      <c r="M53" s="11"/>
    </row>
    <row r="54" spans="1:13">
      <c r="A54" s="11">
        <v>51</v>
      </c>
      <c r="B54" s="12" t="s">
        <v>51</v>
      </c>
      <c r="C54" s="12" t="s">
        <v>31</v>
      </c>
      <c r="D54" s="11"/>
      <c r="E54" s="11"/>
      <c r="F54" s="11"/>
      <c r="G54" s="11"/>
      <c r="H54" s="11"/>
      <c r="I54" s="11"/>
      <c r="J54" s="10"/>
      <c r="K54" s="10"/>
      <c r="L54" s="11"/>
      <c r="M54" s="11"/>
    </row>
    <row r="55" spans="1:13">
      <c r="A55" s="11">
        <v>52</v>
      </c>
      <c r="B55" s="12" t="s">
        <v>51</v>
      </c>
      <c r="C55" s="12" t="s">
        <v>31</v>
      </c>
      <c r="D55" s="11"/>
      <c r="E55" s="11"/>
      <c r="F55" s="11"/>
      <c r="G55" s="11"/>
      <c r="H55" s="11"/>
      <c r="I55" s="11"/>
      <c r="J55" s="10"/>
      <c r="K55" s="10"/>
      <c r="L55" s="11"/>
      <c r="M55" s="11"/>
    </row>
    <row r="56" spans="1:13">
      <c r="A56" s="11">
        <v>53</v>
      </c>
      <c r="B56" s="12" t="s">
        <v>51</v>
      </c>
      <c r="C56" s="12" t="s">
        <v>31</v>
      </c>
      <c r="D56" s="11"/>
      <c r="E56" s="11"/>
      <c r="F56" s="11"/>
      <c r="G56" s="11"/>
      <c r="H56" s="11"/>
      <c r="I56" s="11"/>
      <c r="J56" s="10"/>
      <c r="K56" s="10"/>
      <c r="L56" s="11"/>
      <c r="M56" s="11"/>
    </row>
    <row r="57" spans="1:13">
      <c r="A57" s="11">
        <v>54</v>
      </c>
      <c r="B57" s="12" t="s">
        <v>51</v>
      </c>
      <c r="C57" s="12" t="s">
        <v>31</v>
      </c>
      <c r="D57" s="11"/>
      <c r="E57" s="11"/>
      <c r="F57" s="11"/>
      <c r="G57" s="11"/>
      <c r="H57" s="11"/>
      <c r="I57" s="11"/>
      <c r="J57" s="10"/>
      <c r="K57" s="10"/>
      <c r="L57" s="11"/>
      <c r="M57" s="11"/>
    </row>
    <row r="58" spans="1:13">
      <c r="A58" s="11">
        <v>55</v>
      </c>
      <c r="B58" s="12" t="s">
        <v>51</v>
      </c>
      <c r="C58" s="12" t="s">
        <v>31</v>
      </c>
      <c r="D58" s="11"/>
      <c r="E58" s="11"/>
      <c r="F58" s="11"/>
      <c r="G58" s="11"/>
      <c r="H58" s="11"/>
      <c r="I58" s="11"/>
      <c r="J58" s="10"/>
      <c r="K58" s="10"/>
      <c r="L58" s="11"/>
      <c r="M58" s="11"/>
    </row>
    <row r="59" spans="1:13">
      <c r="A59" s="11">
        <v>56</v>
      </c>
      <c r="B59" s="12" t="s">
        <v>51</v>
      </c>
      <c r="C59" s="12" t="s">
        <v>31</v>
      </c>
      <c r="D59" s="11"/>
      <c r="E59" s="11"/>
      <c r="F59" s="11"/>
      <c r="G59" s="11"/>
      <c r="H59" s="11"/>
      <c r="I59" s="11"/>
      <c r="J59" s="10"/>
      <c r="K59" s="10"/>
      <c r="L59" s="11"/>
      <c r="M59" s="11"/>
    </row>
    <row r="60" spans="1:13">
      <c r="A60" s="11">
        <v>57</v>
      </c>
      <c r="B60" s="12" t="s">
        <v>51</v>
      </c>
      <c r="C60" s="12" t="s">
        <v>31</v>
      </c>
      <c r="D60" s="11"/>
      <c r="E60" s="11"/>
      <c r="F60" s="11"/>
      <c r="G60" s="11"/>
      <c r="H60" s="11"/>
      <c r="I60" s="11"/>
      <c r="J60" s="10"/>
      <c r="K60" s="10"/>
      <c r="L60" s="11"/>
      <c r="M60" s="11"/>
    </row>
    <row r="61" spans="1:13">
      <c r="A61" s="11">
        <v>58</v>
      </c>
      <c r="B61" s="12" t="s">
        <v>51</v>
      </c>
      <c r="C61" s="12" t="s">
        <v>31</v>
      </c>
      <c r="D61" s="11"/>
      <c r="E61" s="11"/>
      <c r="F61" s="11"/>
      <c r="G61" s="11"/>
      <c r="H61" s="11"/>
      <c r="I61" s="11"/>
      <c r="J61" s="10"/>
      <c r="K61" s="10"/>
      <c r="L61" s="11"/>
      <c r="M61" s="11"/>
    </row>
    <row r="62" spans="1:13">
      <c r="A62" s="11">
        <v>59</v>
      </c>
      <c r="B62" s="12" t="s">
        <v>51</v>
      </c>
      <c r="C62" s="12" t="s">
        <v>31</v>
      </c>
      <c r="D62" s="11"/>
      <c r="E62" s="11"/>
      <c r="F62" s="11"/>
      <c r="G62" s="11"/>
      <c r="H62" s="11"/>
      <c r="I62" s="11"/>
      <c r="J62" s="10"/>
      <c r="K62" s="10"/>
      <c r="L62" s="11"/>
      <c r="M62" s="11"/>
    </row>
    <row r="63" spans="1:13">
      <c r="A63" s="11">
        <v>60</v>
      </c>
      <c r="B63" s="12" t="s">
        <v>51</v>
      </c>
      <c r="C63" s="12" t="s">
        <v>31</v>
      </c>
      <c r="D63" s="11"/>
      <c r="E63" s="11"/>
      <c r="F63" s="11"/>
      <c r="G63" s="11"/>
      <c r="H63" s="11"/>
      <c r="I63" s="11"/>
      <c r="J63" s="10"/>
      <c r="K63" s="10"/>
      <c r="L63" s="11"/>
      <c r="M63" s="11"/>
    </row>
    <row r="64" spans="1:13">
      <c r="A64" s="11">
        <v>61</v>
      </c>
      <c r="B64" s="12" t="s">
        <v>51</v>
      </c>
      <c r="C64" s="12" t="s">
        <v>31</v>
      </c>
      <c r="D64" s="11"/>
      <c r="E64" s="11"/>
      <c r="F64" s="11"/>
      <c r="G64" s="11"/>
      <c r="H64" s="11"/>
      <c r="I64" s="11"/>
      <c r="J64" s="10"/>
      <c r="K64" s="10"/>
      <c r="L64" s="11"/>
      <c r="M64" s="11"/>
    </row>
    <row r="65" spans="1:13">
      <c r="A65" s="11">
        <v>62</v>
      </c>
      <c r="B65" s="12" t="s">
        <v>51</v>
      </c>
      <c r="C65" s="12" t="s">
        <v>31</v>
      </c>
      <c r="D65" s="11"/>
      <c r="E65" s="11"/>
      <c r="F65" s="11"/>
      <c r="G65" s="11"/>
      <c r="H65" s="11"/>
      <c r="I65" s="11"/>
      <c r="J65" s="10"/>
      <c r="K65" s="10"/>
      <c r="L65" s="11"/>
      <c r="M65" s="11"/>
    </row>
    <row r="66" spans="1:13">
      <c r="A66" s="11">
        <v>63</v>
      </c>
      <c r="B66" s="12" t="s">
        <v>51</v>
      </c>
      <c r="C66" s="12" t="s">
        <v>31</v>
      </c>
      <c r="D66" s="11"/>
      <c r="E66" s="11"/>
      <c r="F66" s="11"/>
      <c r="G66" s="11"/>
      <c r="H66" s="11"/>
      <c r="I66" s="11"/>
      <c r="J66" s="10"/>
      <c r="K66" s="10"/>
      <c r="L66" s="11"/>
      <c r="M66" s="11"/>
    </row>
    <row r="67" spans="1:13">
      <c r="A67" s="11">
        <v>64</v>
      </c>
      <c r="B67" s="12" t="s">
        <v>51</v>
      </c>
      <c r="C67" s="12" t="s">
        <v>31</v>
      </c>
      <c r="D67" s="11"/>
      <c r="E67" s="11"/>
      <c r="F67" s="11"/>
      <c r="G67" s="11"/>
      <c r="H67" s="11"/>
      <c r="I67" s="11"/>
      <c r="J67" s="10"/>
      <c r="K67" s="10"/>
      <c r="L67" s="11"/>
      <c r="M67" s="11"/>
    </row>
    <row r="68" spans="1:13">
      <c r="A68" s="11">
        <v>65</v>
      </c>
      <c r="B68" s="12" t="s">
        <v>51</v>
      </c>
      <c r="C68" s="12" t="s">
        <v>31</v>
      </c>
      <c r="D68" s="11"/>
      <c r="E68" s="11"/>
      <c r="F68" s="11"/>
      <c r="G68" s="11"/>
      <c r="H68" s="11"/>
      <c r="I68" s="11"/>
      <c r="J68" s="10"/>
      <c r="K68" s="10"/>
      <c r="L68" s="11"/>
      <c r="M68" s="11"/>
    </row>
    <row r="69" spans="1:13">
      <c r="A69" s="11">
        <v>66</v>
      </c>
      <c r="B69" s="12" t="s">
        <v>51</v>
      </c>
      <c r="C69" s="12" t="s">
        <v>31</v>
      </c>
      <c r="D69" s="11"/>
      <c r="E69" s="11"/>
      <c r="F69" s="11"/>
      <c r="G69" s="11"/>
      <c r="H69" s="11"/>
      <c r="I69" s="11"/>
      <c r="J69" s="10"/>
      <c r="K69" s="10"/>
      <c r="L69" s="11"/>
      <c r="M69" s="11"/>
    </row>
    <row r="70" spans="1:13">
      <c r="A70" s="11">
        <v>67</v>
      </c>
      <c r="B70" s="12" t="s">
        <v>51</v>
      </c>
      <c r="C70" s="12" t="s">
        <v>31</v>
      </c>
      <c r="D70" s="11"/>
      <c r="E70" s="11"/>
      <c r="F70" s="11"/>
      <c r="G70" s="11"/>
      <c r="H70" s="11"/>
      <c r="I70" s="11"/>
      <c r="J70" s="10"/>
      <c r="K70" s="10"/>
      <c r="L70" s="11"/>
      <c r="M70" s="11"/>
    </row>
    <row r="71" spans="1:13">
      <c r="A71" s="11">
        <v>68</v>
      </c>
      <c r="B71" s="12" t="s">
        <v>51</v>
      </c>
      <c r="C71" s="12" t="s">
        <v>31</v>
      </c>
      <c r="D71" s="11"/>
      <c r="E71" s="11"/>
      <c r="F71" s="11"/>
      <c r="G71" s="11"/>
      <c r="H71" s="11"/>
      <c r="I71" s="11"/>
      <c r="J71" s="10"/>
      <c r="K71" s="10"/>
      <c r="L71" s="11"/>
      <c r="M71" s="11"/>
    </row>
    <row r="72" spans="1:13">
      <c r="A72" s="11">
        <v>69</v>
      </c>
      <c r="B72" s="12" t="s">
        <v>51</v>
      </c>
      <c r="C72" s="12" t="s">
        <v>31</v>
      </c>
      <c r="D72" s="11"/>
      <c r="E72" s="11"/>
      <c r="F72" s="11"/>
      <c r="G72" s="11"/>
      <c r="H72" s="11"/>
      <c r="I72" s="11"/>
      <c r="J72" s="10"/>
      <c r="K72" s="10"/>
      <c r="L72" s="11"/>
      <c r="M72" s="11"/>
    </row>
    <row r="73" spans="1:13">
      <c r="A73" s="11">
        <v>70</v>
      </c>
      <c r="B73" s="12" t="s">
        <v>51</v>
      </c>
      <c r="C73" s="12" t="s">
        <v>31</v>
      </c>
      <c r="D73" s="11"/>
      <c r="E73" s="11"/>
      <c r="F73" s="11"/>
      <c r="G73" s="11"/>
      <c r="H73" s="11"/>
      <c r="I73" s="11"/>
      <c r="J73" s="10"/>
      <c r="K73" s="10"/>
      <c r="L73" s="11"/>
      <c r="M73" s="11"/>
    </row>
    <row r="74" spans="1:13">
      <c r="A74" s="11">
        <v>71</v>
      </c>
      <c r="B74" s="12" t="s">
        <v>51</v>
      </c>
      <c r="C74" s="12" t="s">
        <v>31</v>
      </c>
      <c r="D74" s="11"/>
      <c r="E74" s="11"/>
      <c r="F74" s="11"/>
      <c r="G74" s="11"/>
      <c r="H74" s="11"/>
      <c r="I74" s="11"/>
      <c r="J74" s="10"/>
      <c r="K74" s="10"/>
      <c r="L74" s="11"/>
      <c r="M74" s="11"/>
    </row>
    <row r="75" spans="1:13">
      <c r="A75" s="11">
        <v>72</v>
      </c>
      <c r="B75" s="12" t="s">
        <v>51</v>
      </c>
      <c r="C75" s="12" t="s">
        <v>31</v>
      </c>
      <c r="D75" s="11"/>
      <c r="E75" s="11"/>
      <c r="F75" s="11"/>
      <c r="G75" s="11"/>
      <c r="H75" s="11"/>
      <c r="I75" s="11"/>
      <c r="J75" s="10"/>
      <c r="K75" s="10"/>
      <c r="L75" s="11"/>
      <c r="M75" s="11"/>
    </row>
    <row r="76" spans="1:13">
      <c r="A76" s="11">
        <v>73</v>
      </c>
      <c r="B76" s="12" t="s">
        <v>51</v>
      </c>
      <c r="C76" s="12" t="s">
        <v>31</v>
      </c>
      <c r="D76" s="11"/>
      <c r="E76" s="11"/>
      <c r="F76" s="11"/>
      <c r="G76" s="11"/>
      <c r="H76" s="11"/>
      <c r="I76" s="11"/>
      <c r="J76" s="10"/>
      <c r="K76" s="10"/>
      <c r="L76" s="11"/>
      <c r="M76" s="11"/>
    </row>
    <row r="77" spans="1:13">
      <c r="A77" s="11">
        <v>74</v>
      </c>
      <c r="B77" s="12" t="s">
        <v>51</v>
      </c>
      <c r="C77" s="12" t="s">
        <v>31</v>
      </c>
      <c r="D77" s="11"/>
      <c r="E77" s="11"/>
      <c r="F77" s="11"/>
      <c r="G77" s="11"/>
      <c r="H77" s="11"/>
      <c r="I77" s="11"/>
      <c r="J77" s="10"/>
      <c r="K77" s="10"/>
      <c r="L77" s="11"/>
      <c r="M77" s="11"/>
    </row>
    <row r="78" spans="1:13">
      <c r="A78" s="11">
        <v>75</v>
      </c>
      <c r="B78" s="12" t="s">
        <v>51</v>
      </c>
      <c r="C78" s="12" t="s">
        <v>31</v>
      </c>
      <c r="D78" s="11"/>
      <c r="E78" s="11"/>
      <c r="F78" s="11"/>
      <c r="G78" s="11"/>
      <c r="H78" s="11"/>
      <c r="I78" s="11"/>
      <c r="J78" s="10"/>
      <c r="K78" s="10"/>
      <c r="L78" s="11"/>
      <c r="M78" s="11"/>
    </row>
    <row r="79" spans="1:13">
      <c r="A79" s="11">
        <v>76</v>
      </c>
      <c r="B79" s="12" t="s">
        <v>52</v>
      </c>
      <c r="C79" s="12" t="s">
        <v>31</v>
      </c>
      <c r="D79" s="11"/>
      <c r="E79" s="11"/>
      <c r="F79" s="11"/>
      <c r="G79" s="11"/>
      <c r="H79" s="11"/>
      <c r="I79" s="11"/>
      <c r="J79" s="10"/>
      <c r="K79" s="10"/>
      <c r="L79" s="11"/>
      <c r="M79" s="11"/>
    </row>
    <row r="80" spans="1:13">
      <c r="A80" s="11">
        <v>77</v>
      </c>
      <c r="B80" s="12" t="s">
        <v>52</v>
      </c>
      <c r="C80" s="12" t="s">
        <v>31</v>
      </c>
      <c r="D80" s="11"/>
      <c r="E80" s="11"/>
      <c r="F80" s="11"/>
      <c r="G80" s="11"/>
      <c r="H80" s="11"/>
      <c r="I80" s="11"/>
      <c r="J80" s="10"/>
      <c r="K80" s="10"/>
      <c r="L80" s="11"/>
      <c r="M80" s="11"/>
    </row>
    <row r="81" spans="1:13">
      <c r="A81" s="11">
        <v>78</v>
      </c>
      <c r="B81" s="12" t="s">
        <v>52</v>
      </c>
      <c r="C81" s="12" t="s">
        <v>31</v>
      </c>
      <c r="D81" s="11"/>
      <c r="E81" s="11"/>
      <c r="F81" s="11"/>
      <c r="G81" s="11"/>
      <c r="H81" s="11"/>
      <c r="I81" s="11"/>
      <c r="J81" s="10"/>
      <c r="K81" s="10"/>
      <c r="L81" s="11"/>
      <c r="M81" s="11"/>
    </row>
    <row r="82" spans="1:13">
      <c r="A82" s="11">
        <v>79</v>
      </c>
      <c r="B82" s="12" t="s">
        <v>52</v>
      </c>
      <c r="C82" s="12" t="s">
        <v>31</v>
      </c>
      <c r="D82" s="11"/>
      <c r="E82" s="11"/>
      <c r="F82" s="11"/>
      <c r="G82" s="11"/>
      <c r="H82" s="11"/>
      <c r="I82" s="11"/>
      <c r="J82" s="10"/>
      <c r="K82" s="10"/>
      <c r="L82" s="11"/>
      <c r="M82" s="11"/>
    </row>
    <row r="83" spans="1:13">
      <c r="A83" s="11">
        <v>80</v>
      </c>
      <c r="B83" s="12" t="s">
        <v>52</v>
      </c>
      <c r="C83" s="12" t="s">
        <v>31</v>
      </c>
      <c r="D83" s="11"/>
      <c r="E83" s="11"/>
      <c r="F83" s="11"/>
      <c r="G83" s="11"/>
      <c r="H83" s="11"/>
      <c r="I83" s="11"/>
      <c r="J83" s="10"/>
      <c r="K83" s="10"/>
      <c r="L83" s="11"/>
      <c r="M83" s="11"/>
    </row>
    <row r="84" spans="1:13">
      <c r="A84" s="11">
        <v>81</v>
      </c>
      <c r="B84" s="12" t="s">
        <v>52</v>
      </c>
      <c r="C84" s="12" t="s">
        <v>31</v>
      </c>
      <c r="D84" s="11"/>
      <c r="E84" s="11"/>
      <c r="F84" s="11"/>
      <c r="G84" s="11"/>
      <c r="H84" s="11"/>
      <c r="I84" s="11"/>
      <c r="J84" s="10"/>
      <c r="K84" s="10"/>
      <c r="L84" s="11"/>
      <c r="M84" s="11"/>
    </row>
    <row r="85" spans="1:13">
      <c r="A85" s="11">
        <v>82</v>
      </c>
      <c r="B85" s="12" t="s">
        <v>52</v>
      </c>
      <c r="C85" s="12" t="s">
        <v>31</v>
      </c>
      <c r="D85" s="11"/>
      <c r="E85" s="11"/>
      <c r="F85" s="11"/>
      <c r="G85" s="11"/>
      <c r="H85" s="11"/>
      <c r="I85" s="11"/>
      <c r="J85" s="10"/>
      <c r="K85" s="10"/>
      <c r="L85" s="11"/>
      <c r="M85" s="11"/>
    </row>
    <row r="86" spans="1:13">
      <c r="A86" s="11">
        <v>83</v>
      </c>
      <c r="B86" s="12" t="s">
        <v>52</v>
      </c>
      <c r="C86" s="12" t="s">
        <v>31</v>
      </c>
      <c r="D86" s="11"/>
      <c r="E86" s="11"/>
      <c r="F86" s="11"/>
      <c r="G86" s="11"/>
      <c r="H86" s="11"/>
      <c r="I86" s="11"/>
      <c r="J86" s="10"/>
      <c r="K86" s="10"/>
      <c r="L86" s="11"/>
      <c r="M86" s="11"/>
    </row>
    <row r="87" spans="1:13">
      <c r="A87" s="11">
        <v>84</v>
      </c>
      <c r="B87" s="12" t="s">
        <v>52</v>
      </c>
      <c r="C87" s="12" t="s">
        <v>31</v>
      </c>
      <c r="D87" s="11"/>
      <c r="E87" s="11"/>
      <c r="F87" s="11"/>
      <c r="G87" s="11"/>
      <c r="H87" s="11"/>
      <c r="I87" s="11"/>
      <c r="J87" s="10"/>
      <c r="K87" s="10"/>
      <c r="L87" s="11"/>
      <c r="M87" s="11"/>
    </row>
    <row r="88" spans="1:13">
      <c r="A88" s="11">
        <v>85</v>
      </c>
      <c r="B88" s="12" t="s">
        <v>52</v>
      </c>
      <c r="C88" s="12" t="s">
        <v>31</v>
      </c>
      <c r="D88" s="11"/>
      <c r="E88" s="11"/>
      <c r="F88" s="11"/>
      <c r="G88" s="11"/>
      <c r="H88" s="11"/>
      <c r="I88" s="11"/>
      <c r="J88" s="10"/>
      <c r="K88" s="10"/>
      <c r="L88" s="11"/>
      <c r="M88" s="11"/>
    </row>
    <row r="89" spans="1:13">
      <c r="A89" s="11">
        <v>86</v>
      </c>
      <c r="B89" s="12" t="s">
        <v>52</v>
      </c>
      <c r="C89" s="12" t="s">
        <v>31</v>
      </c>
      <c r="D89" s="11"/>
      <c r="E89" s="11"/>
      <c r="F89" s="11"/>
      <c r="G89" s="11"/>
      <c r="H89" s="11"/>
      <c r="I89" s="11"/>
      <c r="J89" s="10"/>
      <c r="K89" s="10"/>
      <c r="L89" s="11"/>
      <c r="M89" s="11"/>
    </row>
    <row r="90" spans="1:13">
      <c r="A90" s="11">
        <v>87</v>
      </c>
      <c r="B90" s="12" t="s">
        <v>52</v>
      </c>
      <c r="C90" s="12" t="s">
        <v>31</v>
      </c>
      <c r="D90" s="11"/>
      <c r="E90" s="11"/>
      <c r="F90" s="11"/>
      <c r="G90" s="11"/>
      <c r="H90" s="11"/>
      <c r="I90" s="11"/>
      <c r="J90" s="10"/>
      <c r="K90" s="10"/>
      <c r="L90" s="11"/>
      <c r="M90" s="11"/>
    </row>
    <row r="91" spans="1:13">
      <c r="A91" s="11">
        <v>88</v>
      </c>
      <c r="B91" s="12" t="s">
        <v>52</v>
      </c>
      <c r="C91" s="12" t="s">
        <v>31</v>
      </c>
      <c r="D91" s="11"/>
      <c r="E91" s="11"/>
      <c r="F91" s="11"/>
      <c r="G91" s="11"/>
      <c r="H91" s="11"/>
      <c r="I91" s="11"/>
      <c r="J91" s="10"/>
      <c r="K91" s="10"/>
      <c r="L91" s="11"/>
      <c r="M91" s="11"/>
    </row>
    <row r="92" spans="1:13">
      <c r="A92" s="11">
        <v>89</v>
      </c>
      <c r="B92" s="12" t="s">
        <v>52</v>
      </c>
      <c r="C92" s="12" t="s">
        <v>31</v>
      </c>
      <c r="D92" s="11"/>
      <c r="E92" s="11"/>
      <c r="F92" s="11"/>
      <c r="G92" s="11"/>
      <c r="H92" s="11"/>
      <c r="I92" s="11"/>
      <c r="J92" s="10"/>
      <c r="K92" s="10"/>
      <c r="L92" s="11"/>
      <c r="M92" s="11"/>
    </row>
    <row r="93" spans="1:13">
      <c r="A93" s="11">
        <v>90</v>
      </c>
      <c r="B93" s="12" t="s">
        <v>52</v>
      </c>
      <c r="C93" s="12" t="s">
        <v>31</v>
      </c>
      <c r="D93" s="11"/>
      <c r="E93" s="11"/>
      <c r="F93" s="11"/>
      <c r="G93" s="11"/>
      <c r="H93" s="11"/>
      <c r="I93" s="11"/>
      <c r="J93" s="10"/>
      <c r="K93" s="10"/>
      <c r="L93" s="11"/>
      <c r="M93" s="11"/>
    </row>
    <row r="94" spans="1:13">
      <c r="A94" s="11">
        <v>91</v>
      </c>
      <c r="B94" s="12" t="s">
        <v>52</v>
      </c>
      <c r="C94" s="12" t="s">
        <v>31</v>
      </c>
      <c r="D94" s="11"/>
      <c r="E94" s="11"/>
      <c r="F94" s="11"/>
      <c r="G94" s="11"/>
      <c r="H94" s="11"/>
      <c r="I94" s="11"/>
      <c r="J94" s="10"/>
      <c r="K94" s="10"/>
      <c r="L94" s="11"/>
      <c r="M94" s="11"/>
    </row>
    <row r="95" spans="1:13">
      <c r="A95" s="11">
        <v>92</v>
      </c>
      <c r="B95" s="12" t="s">
        <v>52</v>
      </c>
      <c r="C95" s="12" t="s">
        <v>31</v>
      </c>
      <c r="D95" s="11"/>
      <c r="E95" s="11"/>
      <c r="F95" s="11"/>
      <c r="G95" s="11"/>
      <c r="H95" s="11"/>
      <c r="I95" s="11"/>
      <c r="J95" s="10"/>
      <c r="K95" s="10"/>
      <c r="L95" s="11"/>
      <c r="M95" s="11"/>
    </row>
    <row r="96" spans="1:13">
      <c r="A96" s="11">
        <v>93</v>
      </c>
      <c r="B96" s="12" t="s">
        <v>52</v>
      </c>
      <c r="C96" s="12" t="s">
        <v>31</v>
      </c>
      <c r="D96" s="11"/>
      <c r="E96" s="11"/>
      <c r="F96" s="11"/>
      <c r="G96" s="11"/>
      <c r="H96" s="11"/>
      <c r="I96" s="11"/>
      <c r="J96" s="10"/>
      <c r="K96" s="10"/>
      <c r="L96" s="11"/>
      <c r="M96" s="11"/>
    </row>
    <row r="97" spans="1:13">
      <c r="A97" s="11">
        <v>94</v>
      </c>
      <c r="B97" s="12" t="s">
        <v>52</v>
      </c>
      <c r="C97" s="12" t="s">
        <v>31</v>
      </c>
      <c r="D97" s="11"/>
      <c r="E97" s="11"/>
      <c r="F97" s="11"/>
      <c r="G97" s="11"/>
      <c r="H97" s="11"/>
      <c r="I97" s="11"/>
      <c r="J97" s="10"/>
      <c r="K97" s="10"/>
      <c r="L97" s="11"/>
      <c r="M97" s="11"/>
    </row>
    <row r="98" spans="1:13">
      <c r="A98" s="11">
        <v>95</v>
      </c>
      <c r="B98" s="12" t="s">
        <v>52</v>
      </c>
      <c r="C98" s="12" t="s">
        <v>31</v>
      </c>
      <c r="D98" s="11"/>
      <c r="E98" s="11"/>
      <c r="F98" s="11"/>
      <c r="G98" s="11"/>
      <c r="H98" s="11"/>
      <c r="I98" s="11"/>
      <c r="J98" s="10"/>
      <c r="K98" s="10"/>
      <c r="L98" s="11"/>
      <c r="M98" s="11"/>
    </row>
    <row r="99" spans="1:13">
      <c r="A99" s="11">
        <v>96</v>
      </c>
      <c r="B99" s="12" t="s">
        <v>52</v>
      </c>
      <c r="C99" s="12" t="s">
        <v>31</v>
      </c>
      <c r="D99" s="11"/>
      <c r="E99" s="11"/>
      <c r="F99" s="11"/>
      <c r="G99" s="11"/>
      <c r="H99" s="11"/>
      <c r="I99" s="11"/>
      <c r="J99" s="10"/>
      <c r="K99" s="10"/>
      <c r="L99" s="11"/>
      <c r="M99" s="11"/>
    </row>
    <row r="100" spans="1:13">
      <c r="A100" s="11">
        <v>97</v>
      </c>
      <c r="B100" s="12" t="s">
        <v>52</v>
      </c>
      <c r="C100" s="12" t="s">
        <v>31</v>
      </c>
      <c r="D100" s="11"/>
      <c r="E100" s="11"/>
      <c r="F100" s="11"/>
      <c r="G100" s="11"/>
      <c r="H100" s="11"/>
      <c r="I100" s="11"/>
      <c r="J100" s="10"/>
      <c r="K100" s="10"/>
      <c r="L100" s="11"/>
      <c r="M100" s="11"/>
    </row>
    <row r="101" spans="1:13">
      <c r="A101" s="11">
        <v>98</v>
      </c>
      <c r="B101" s="12" t="s">
        <v>52</v>
      </c>
      <c r="C101" s="12" t="s">
        <v>31</v>
      </c>
      <c r="D101" s="11"/>
      <c r="E101" s="11"/>
      <c r="F101" s="11"/>
      <c r="G101" s="11"/>
      <c r="H101" s="11"/>
      <c r="I101" s="11"/>
      <c r="J101" s="10"/>
      <c r="K101" s="10"/>
      <c r="L101" s="11"/>
      <c r="M101" s="11"/>
    </row>
    <row r="102" spans="1:13">
      <c r="A102" s="11">
        <v>99</v>
      </c>
      <c r="B102" s="12" t="s">
        <v>52</v>
      </c>
      <c r="C102" s="12" t="s">
        <v>31</v>
      </c>
      <c r="D102" s="11"/>
      <c r="E102" s="11"/>
      <c r="F102" s="11"/>
      <c r="G102" s="11"/>
      <c r="H102" s="11"/>
      <c r="I102" s="11"/>
      <c r="J102" s="10"/>
      <c r="K102" s="10"/>
      <c r="L102" s="11"/>
      <c r="M102" s="11"/>
    </row>
    <row r="103" spans="1:13">
      <c r="A103" s="11">
        <v>100</v>
      </c>
      <c r="B103" s="12" t="s">
        <v>52</v>
      </c>
      <c r="C103" s="12" t="s">
        <v>31</v>
      </c>
      <c r="D103" s="11"/>
      <c r="E103" s="11"/>
      <c r="F103" s="11"/>
      <c r="G103" s="11"/>
      <c r="H103" s="11"/>
      <c r="I103" s="11"/>
      <c r="J103" s="10"/>
      <c r="K103" s="10"/>
      <c r="L103" s="11"/>
      <c r="M103" s="11"/>
    </row>
  </sheetData>
  <mergeCells count="2">
    <mergeCell ref="A1:M1"/>
    <mergeCell ref="A2:M2"/>
  </mergeCells>
  <phoneticPr fontId="12" type="noConversion"/>
  <dataValidations count="4">
    <dataValidation type="list" allowBlank="1" sqref="B4:B103" xr:uid="{00000000-0002-0000-0100-000000000000}">
      <formula1>"학사규정,행정절차,외국인학생행정,캠퍼스시설"</formula1>
      <formula2>0</formula2>
    </dataValidation>
    <dataValidation type="list" allowBlank="1" sqref="C4:C103" xr:uid="{00000000-0002-0000-0100-000001000000}">
      <formula1>"일반,함정-무근거"</formula1>
      <formula2>0</formula2>
    </dataValidation>
    <dataValidation type="list" allowBlank="1" sqref="J4:J103" xr:uid="{00000000-0002-0000-0100-000002000000}">
      <formula1>"O,X"</formula1>
      <formula2>0</formula2>
    </dataValidation>
    <dataValidation type="list" allowBlank="1" sqref="K4:K103" xr:uid="{00000000-0002-0000-0100-000003000000}">
      <formula1>"O,X,NA"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11"/>
  <sheetViews>
    <sheetView showGridLines="0" tabSelected="1" zoomScaleNormal="100" workbookViewId="0">
      <selection activeCell="F23" sqref="F23"/>
    </sheetView>
  </sheetViews>
  <sheetFormatPr defaultColWidth="8.6640625" defaultRowHeight="14.4"/>
  <cols>
    <col min="1" max="1" width="2" customWidth="1"/>
    <col min="2" max="2" width="16" customWidth="1"/>
    <col min="3" max="3" width="9" customWidth="1"/>
    <col min="4" max="4" width="10" customWidth="1"/>
    <col min="5" max="5" width="8" customWidth="1"/>
    <col min="6" max="7" width="9" customWidth="1"/>
    <col min="8" max="9" width="10" customWidth="1"/>
    <col min="10" max="10" width="9" customWidth="1"/>
    <col min="11" max="11" width="10" customWidth="1"/>
    <col min="12" max="12" width="11" customWidth="1"/>
  </cols>
  <sheetData>
    <row r="2" spans="2:12" ht="17.399999999999999">
      <c r="B2" s="13" t="s">
        <v>53</v>
      </c>
    </row>
    <row r="4" spans="2:12" ht="30" customHeight="1">
      <c r="B4" s="7" t="s">
        <v>18</v>
      </c>
      <c r="C4" s="7" t="s">
        <v>54</v>
      </c>
      <c r="D4" s="7" t="s">
        <v>55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</row>
    <row r="5" spans="2:12">
      <c r="B5" s="14" t="s">
        <v>30</v>
      </c>
      <c r="C5" s="14">
        <f>COUNTIF(문항집!$B$4:$B$103,"학사규정")</f>
        <v>25</v>
      </c>
      <c r="D5" s="14">
        <f>COUNTIFS(문항집!$B$4:$B$103,"학사규정",문항집!$J$4:$J$103,"O")+COUNTIFS(문항집!$B$4:$B$103,"학사규정",문항집!$J$4:$J$103,"X")</f>
        <v>2</v>
      </c>
      <c r="E5" s="14">
        <f>COUNTIFS(문항집!$B$4:$B$103,"학사규정",문항집!$J$4:$J$103,"O")</f>
        <v>2</v>
      </c>
      <c r="F5" s="15">
        <f>IFERROR(E5/D5,"-")</f>
        <v>1</v>
      </c>
      <c r="G5" s="14">
        <f>COUNTIFS(문항집!$B$4:$B$103,"학사규정",문항집!$C$4:$C$103,"일반")</f>
        <v>24</v>
      </c>
      <c r="H5" s="14">
        <f>COUNTIFS(문항집!$B$4:$B$103,"학사규정",문항집!$C$4:$C$103,"일반",문항집!$K$4:$K$103,"O")</f>
        <v>1</v>
      </c>
      <c r="I5" s="15">
        <f>IFERROR(H5/(COUNTIFS(문항집!$B$4:$B$103,"학사규정",문항집!$C$4:$C$103,"일반",문항집!$J$4:$J$103,"O")+COUNTIFS(문항집!$B$4:$B$103,"학사규정",문항집!$C$4:$C$103,"일반",문항집!$J$4:$J$103,"X")),"-")</f>
        <v>1</v>
      </c>
      <c r="J5" s="14">
        <f>COUNTIFS(문항집!$B$4:$B$103,"학사규정",문항집!$C$4:$C$103,"함정-무근거")</f>
        <v>1</v>
      </c>
      <c r="K5" s="14">
        <f>COUNTIFS(문항집!$B$4:$B$103,"학사규정",문항집!$C$4:$C$103,"함정-무근거",문항집!$J$4:$J$103,"O")</f>
        <v>1</v>
      </c>
      <c r="L5" s="15">
        <f>IFERROR(K5/(COUNTIFS(문항집!$B$4:$B$103,"학사규정",문항집!$C$4:$C$103,"함정-무근거",문항집!$J$4:$J$103,"O")+COUNTIFS(문항집!$B$4:$B$103,"학사규정",문항집!$C$4:$C$103,"함정-무근거",문항집!$J$4:$J$103,"X")),"-")</f>
        <v>1</v>
      </c>
    </row>
    <row r="6" spans="2:12">
      <c r="B6" s="14" t="s">
        <v>50</v>
      </c>
      <c r="C6" s="14">
        <f>COUNTIF(문항집!$B$4:$B$103,"행정절차")</f>
        <v>25</v>
      </c>
      <c r="D6" s="14">
        <f>COUNTIFS(문항집!$B$4:$B$103,"행정절차",문항집!$J$4:$J$103,"O")+COUNTIFS(문항집!$B$4:$B$103,"행정절차",문항집!$J$4:$J$103,"X")</f>
        <v>0</v>
      </c>
      <c r="E6" s="14">
        <f>COUNTIFS(문항집!$B$4:$B$103,"행정절차",문항집!$J$4:$J$103,"O")</f>
        <v>0</v>
      </c>
      <c r="F6" s="15" t="str">
        <f>IFERROR(E6/D6,"-")</f>
        <v>-</v>
      </c>
      <c r="G6" s="14">
        <f>COUNTIFS(문항집!$B$4:$B$103,"행정절차",문항집!$C$4:$C$103,"일반")</f>
        <v>25</v>
      </c>
      <c r="H6" s="14">
        <f>COUNTIFS(문항집!$B$4:$B$103,"행정절차",문항집!$C$4:$C$103,"일반",문항집!$K$4:$K$103,"O")</f>
        <v>0</v>
      </c>
      <c r="I6" s="15" t="str">
        <f>IFERROR(H6/(COUNTIFS(문항집!$B$4:$B$103,"행정절차",문항집!$C$4:$C$103,"일반",문항집!$J$4:$J$103,"O")+COUNTIFS(문항집!$B$4:$B$103,"행정절차",문항집!$C$4:$C$103,"일반",문항집!$J$4:$J$103,"X")),"-")</f>
        <v>-</v>
      </c>
      <c r="J6" s="14">
        <f>COUNTIFS(문항집!$B$4:$B$103,"행정절차",문항집!$C$4:$C$103,"함정-무근거")</f>
        <v>0</v>
      </c>
      <c r="K6" s="14">
        <f>COUNTIFS(문항집!$B$4:$B$103,"행정절차",문항집!$C$4:$C$103,"함정-무근거",문항집!$J$4:$J$103,"O")</f>
        <v>0</v>
      </c>
      <c r="L6" s="15" t="str">
        <f>IFERROR(K6/(COUNTIFS(문항집!$B$4:$B$103,"행정절차",문항집!$C$4:$C$103,"함정-무근거",문항집!$J$4:$J$103,"O")+COUNTIFS(문항집!$B$4:$B$103,"행정절차",문항집!$C$4:$C$103,"함정-무근거",문항집!$J$4:$J$103,"X")),"-")</f>
        <v>-</v>
      </c>
    </row>
    <row r="7" spans="2:12">
      <c r="B7" s="14" t="s">
        <v>51</v>
      </c>
      <c r="C7" s="14">
        <f>COUNTIF(문항집!$B$4:$B$103,"외국인학생행정")</f>
        <v>25</v>
      </c>
      <c r="D7" s="14">
        <f>COUNTIFS(문항집!$B$4:$B$103,"외국인학생행정",문항집!$J$4:$J$103,"O")+COUNTIFS(문항집!$B$4:$B$103,"외국인학생행정",문항집!$J$4:$J$103,"X")</f>
        <v>0</v>
      </c>
      <c r="E7" s="14">
        <f>COUNTIFS(문항집!$B$4:$B$103,"외국인학생행정",문항집!$J$4:$J$103,"O")</f>
        <v>0</v>
      </c>
      <c r="F7" s="15" t="str">
        <f>IFERROR(E7/D7,"-")</f>
        <v>-</v>
      </c>
      <c r="G7" s="14">
        <f>COUNTIFS(문항집!$B$4:$B$103,"외국인학생행정",문항집!$C$4:$C$103,"일반")</f>
        <v>25</v>
      </c>
      <c r="H7" s="14">
        <f>COUNTIFS(문항집!$B$4:$B$103,"외국인학생행정",문항집!$C$4:$C$103,"일반",문항집!$K$4:$K$103,"O")</f>
        <v>0</v>
      </c>
      <c r="I7" s="15" t="str">
        <f>IFERROR(H7/(COUNTIFS(문항집!$B$4:$B$103,"외국인학생행정",문항집!$C$4:$C$103,"일반",문항집!$J$4:$J$103,"O")+COUNTIFS(문항집!$B$4:$B$103,"외국인학생행정",문항집!$C$4:$C$103,"일반",문항집!$J$4:$J$103,"X")),"-")</f>
        <v>-</v>
      </c>
      <c r="J7" s="14">
        <f>COUNTIFS(문항집!$B$4:$B$103,"외국인학생행정",문항집!$C$4:$C$103,"함정-무근거")</f>
        <v>0</v>
      </c>
      <c r="K7" s="14">
        <f>COUNTIFS(문항집!$B$4:$B$103,"외국인학생행정",문항집!$C$4:$C$103,"함정-무근거",문항집!$J$4:$J$103,"O")</f>
        <v>0</v>
      </c>
      <c r="L7" s="15" t="str">
        <f>IFERROR(K7/(COUNTIFS(문항집!$B$4:$B$103,"외국인학생행정",문항집!$C$4:$C$103,"함정-무근거",문항집!$J$4:$J$103,"O")+COUNTIFS(문항집!$B$4:$B$103,"외국인학생행정",문항집!$C$4:$C$103,"함정-무근거",문항집!$J$4:$J$103,"X")),"-")</f>
        <v>-</v>
      </c>
    </row>
    <row r="8" spans="2:12">
      <c r="B8" s="14" t="s">
        <v>52</v>
      </c>
      <c r="C8" s="14">
        <f>COUNTIF(문항집!$B$4:$B$103,"캠퍼스시설")</f>
        <v>25</v>
      </c>
      <c r="D8" s="14">
        <f>COUNTIFS(문항집!$B$4:$B$103,"캠퍼스시설",문항집!$J$4:$J$103,"O")+COUNTIFS(문항집!$B$4:$B$103,"캠퍼스시설",문항집!$J$4:$J$103,"X")</f>
        <v>0</v>
      </c>
      <c r="E8" s="14">
        <f>COUNTIFS(문항집!$B$4:$B$103,"캠퍼스시설",문항집!$J$4:$J$103,"O")</f>
        <v>0</v>
      </c>
      <c r="F8" s="15" t="str">
        <f>IFERROR(E8/D8,"-")</f>
        <v>-</v>
      </c>
      <c r="G8" s="14">
        <f>COUNTIFS(문항집!$B$4:$B$103,"캠퍼스시설",문항집!$C$4:$C$103,"일반")</f>
        <v>25</v>
      </c>
      <c r="H8" s="14">
        <f>COUNTIFS(문항집!$B$4:$B$103,"캠퍼스시설",문항집!$C$4:$C$103,"일반",문항집!$K$4:$K$103,"O")</f>
        <v>0</v>
      </c>
      <c r="I8" s="15" t="str">
        <f>IFERROR(H8/(COUNTIFS(문항집!$B$4:$B$103,"캠퍼스시설",문항집!$C$4:$C$103,"일반",문항집!$J$4:$J$103,"O")+COUNTIFS(문항집!$B$4:$B$103,"캠퍼스시설",문항집!$C$4:$C$103,"일반",문항집!$J$4:$J$103,"X")),"-")</f>
        <v>-</v>
      </c>
      <c r="J8" s="14">
        <f>COUNTIFS(문항집!$B$4:$B$103,"캠퍼스시설",문항집!$C$4:$C$103,"함정-무근거")</f>
        <v>0</v>
      </c>
      <c r="K8" s="14">
        <f>COUNTIFS(문항집!$B$4:$B$103,"캠퍼스시설",문항집!$C$4:$C$103,"함정-무근거",문항집!$J$4:$J$103,"O")</f>
        <v>0</v>
      </c>
      <c r="L8" s="15" t="str">
        <f>IFERROR(K8/(COUNTIFS(문항집!$B$4:$B$103,"캠퍼스시설",문항집!$C$4:$C$103,"함정-무근거",문항집!$J$4:$J$103,"O")+COUNTIFS(문항집!$B$4:$B$103,"캠퍼스시설",문항집!$C$4:$C$103,"함정-무근거",문항집!$J$4:$J$103,"X")),"-")</f>
        <v>-</v>
      </c>
    </row>
    <row r="9" spans="2:12">
      <c r="B9" s="16" t="s">
        <v>64</v>
      </c>
      <c r="C9" s="16">
        <f>SUM(C5:C8)</f>
        <v>100</v>
      </c>
      <c r="D9" s="16">
        <f>SUM(D5:D8)</f>
        <v>2</v>
      </c>
      <c r="E9" s="16">
        <f>SUM(E5:E8)</f>
        <v>2</v>
      </c>
      <c r="F9" s="17">
        <f>IFERROR(E9/D9,"-")</f>
        <v>1</v>
      </c>
      <c r="G9" s="16">
        <f>SUM(G5:G8)</f>
        <v>99</v>
      </c>
      <c r="H9" s="16">
        <f>SUM(H5:H8)</f>
        <v>1</v>
      </c>
      <c r="I9" s="17">
        <f>IFERROR(H9/(COUNTIFS(문항집!$C$4:$C$103,"일반",문항집!$J$4:$J$103,"O")+COUNTIFS(문항집!$C$4:$C$103,"일반",문항집!$J$4:$J$103,"X")),"-")</f>
        <v>1</v>
      </c>
      <c r="J9" s="16">
        <f>SUM(J5:J8)</f>
        <v>1</v>
      </c>
      <c r="K9" s="16">
        <f>SUM(K5:K8)</f>
        <v>1</v>
      </c>
      <c r="L9" s="17">
        <f>IFERROR(K9/(COUNTIFS(문항집!$C$4:$C$103,"함정-무근거",문항집!$J$4:$J$103,"O")+COUNTIFS(문항집!$C$4:$C$103,"함정-무근거",문항집!$J$4:$J$103,"X")),"-")</f>
        <v>1</v>
      </c>
    </row>
    <row r="11" spans="2:12">
      <c r="B11" s="6" t="s">
        <v>65</v>
      </c>
    </row>
  </sheetData>
  <phoneticPr fontId="12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문항집</vt:lpstr>
      <vt:lpstr>집계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주영 진</cp:lastModifiedBy>
  <cp:revision>0</cp:revision>
  <dcterms:created xsi:type="dcterms:W3CDTF">2026-09-10T16:05:06Z</dcterms:created>
  <dcterms:modified xsi:type="dcterms:W3CDTF">2026-09-11T05:03:48Z</dcterms:modified>
  <dc:language>en-US</dc:language>
</cp:coreProperties>
</file>