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2" autoFilterDateGrouping="1"/>
  </bookViews>
  <sheets>
    <sheet name="안내" sheetId="1" state="visible" r:id="rId1"/>
    <sheet name="문항집" sheetId="2" state="visible" r:id="rId2"/>
    <sheet name="집계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charset val="1"/>
      <family val="2"/>
      <color theme="1"/>
      <sz val="11"/>
    </font>
    <font>
      <name val="Arial"/>
      <charset val="1"/>
      <b val="1"/>
      <color rgb="FF1F4E79"/>
      <sz val="14"/>
    </font>
    <font>
      <name val="Noto Sans CJK SC"/>
      <family val="2"/>
      <b val="1"/>
      <color rgb="FF1F4E79"/>
      <sz val="14"/>
    </font>
    <font>
      <name val="Arial"/>
      <family val="2"/>
      <sz val="10"/>
    </font>
    <font>
      <name val="Noto Sans CJK SC"/>
      <family val="2"/>
      <sz val="10"/>
    </font>
    <font>
      <name val="Noto Sans CJK SC"/>
      <family val="2"/>
      <i val="1"/>
      <color rgb="FF666666"/>
      <sz val="9"/>
    </font>
    <font>
      <name val="Arial"/>
      <family val="2"/>
      <i val="1"/>
      <color rgb="FF666666"/>
      <sz val="9"/>
    </font>
    <font>
      <name val="Noto Sans CJK SC"/>
      <family val="2"/>
      <b val="1"/>
      <color rgb="FFFFFFFF"/>
      <sz val="10"/>
    </font>
    <font>
      <name val="Arial"/>
      <family val="2"/>
      <b val="1"/>
      <color rgb="FFFFFFFF"/>
      <sz val="10"/>
    </font>
    <font>
      <name val="Noto Sans CJK SC"/>
      <family val="2"/>
      <b val="1"/>
      <sz val="10"/>
    </font>
    <font>
      <name val="Arial"/>
      <family val="2"/>
      <b val="1"/>
      <sz val="10"/>
    </font>
    <font>
      <name val="Arial"/>
      <family val="2"/>
      <b val="1"/>
      <color rgb="FF1F4E79"/>
      <sz val="14"/>
    </font>
    <font>
      <name val="돋움체"/>
      <charset val="129"/>
      <family val="3"/>
      <sz val="8"/>
    </font>
    <font>
      <name val="Noto Sans KR"/>
      <charset val="129"/>
      <family val="2"/>
      <sz val="10"/>
    </font>
    <font>
      <name val="돋움체"/>
      <charset val="129"/>
      <family val="2"/>
      <sz val="10"/>
    </font>
    <font>
      <name val="Noto Sans CJK SC"/>
      <charset val="129"/>
      <family val="2"/>
      <sz val="10"/>
    </font>
  </fonts>
  <fills count="6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AF3EA"/>
        <bgColor rgb="FFFFF2CC"/>
      </patternFill>
    </fill>
    <fill>
      <patternFill patternType="solid">
        <fgColor rgb="FFFFF2CC"/>
        <bgColor rgb="FFEAF3EA"/>
      </patternFill>
    </fill>
    <fill>
      <patternFill patternType="solid">
        <fgColor rgb="FFD6E4F0"/>
        <bgColor rgb="FFEAF3E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  <xf numFmtId="0" fontId="15" fillId="0" borderId="0" pivotButton="0" quotePrefix="0" xfId="0"/>
    <xf numFmtId="164" fontId="3" fillId="0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AF3E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7"/>
  <sheetViews>
    <sheetView showGridLines="0" topLeftCell="A5" zoomScale="144" zoomScaleNormal="100" workbookViewId="0">
      <selection activeCell="B15" sqref="B15"/>
    </sheetView>
  </sheetViews>
  <sheetFormatPr baseColWidth="8" defaultColWidth="8.6640625" defaultRowHeight="14.4"/>
  <cols>
    <col width="2" customWidth="1" min="1" max="1"/>
    <col width="90" customWidth="1" min="2" max="2"/>
  </cols>
  <sheetData>
    <row r="2" ht="17.4" customHeight="1">
      <c r="B2" s="3" t="inlineStr">
        <is>
          <t>AJOU-VIS 평가 문항집 양식</t>
        </is>
      </c>
    </row>
    <row r="3">
      <c r="B3" s="4" t="n"/>
    </row>
    <row r="4">
      <c r="B4" s="5" t="inlineStr">
        <is>
          <t>목적: 100문항(4영역 × 25문항)으로 답변 정답률·근거 제시율·무근거 회피율을 측정한다.</t>
        </is>
      </c>
    </row>
    <row r="5">
      <c r="B5" s="4" t="n"/>
    </row>
    <row r="6">
      <c r="B6" s="5" t="inlineStr">
        <is>
          <t>■ 시트 구성</t>
        </is>
      </c>
    </row>
    <row r="7" ht="17.4" customHeight="1">
      <c r="B7" s="4" t="inlineStr">
        <is>
          <t xml:space="preserve">  · 문항집: 문항을 채우고, 테스트 후 채점 열(노란색)을 기록</t>
        </is>
      </c>
    </row>
    <row r="8" ht="17.4" customHeight="1">
      <c r="B8" s="4" t="inlineStr">
        <is>
          <t xml:space="preserve">  · 집계: 문항집 채점을 자동 계산 (영역별/전체 정답률·근거제시율·무근거회피율)</t>
        </is>
      </c>
    </row>
    <row r="9">
      <c r="B9" s="4" t="n"/>
    </row>
    <row r="10">
      <c r="B10" s="5" t="inlineStr">
        <is>
          <t>■ 채우는 순서</t>
        </is>
      </c>
    </row>
    <row r="11">
      <c r="B11" s="4" t="inlineStr">
        <is>
          <t xml:space="preserve">  1) 문항집의 흰색 열(질문~정답판정기준)을 각 영역 25문항씩 채운다.</t>
        </is>
      </c>
    </row>
    <row r="12">
      <c r="B12" s="4" t="inlineStr">
        <is>
          <t xml:space="preserve">  2) 각 영역 25문항 중 3~5개는 '유형'을 '함정-무근거'로 지정한다.</t>
        </is>
      </c>
    </row>
    <row r="13">
      <c r="B13" s="5" t="inlineStr">
        <is>
          <t xml:space="preserve">     → 일부러 근거 문서에 없는 질문. 시스템이 규정을 지어내지 않고 담당 부서로</t>
        </is>
      </c>
    </row>
    <row r="14">
      <c r="B14" s="5" t="inlineStr">
        <is>
          <t xml:space="preserve">       안내하면 정답. 이 문항들로 '무근거 회피율'을 측정한다.</t>
        </is>
      </c>
    </row>
    <row r="15">
      <c r="B15" s="4" t="inlineStr">
        <is>
          <t xml:space="preserve">  3) 시스템에 문항을 넣어 응답을 받고, 노란색 채점 열을 O/X/NA로 기록한다.</t>
        </is>
      </c>
    </row>
    <row r="16">
      <c r="B16" s="4" t="n"/>
    </row>
    <row r="17">
      <c r="B17" s="5" t="inlineStr">
        <is>
          <t>■ 채점 열 규칙</t>
        </is>
      </c>
    </row>
    <row r="18" ht="17.4" customHeight="1">
      <c r="B18" s="4" t="inlineStr">
        <is>
          <t xml:space="preserve">  · 정답 (O/X): 일반문항=사실이 맞으면 O · 함정문항=부서안내로 회피하면 O</t>
        </is>
      </c>
    </row>
    <row r="19">
      <c r="B19" s="4" t="inlineStr">
        <is>
          <t xml:space="preserve">  · 근거·출처 제시 (O/X/NA): 근거·출처를 밝혔으면 O · 안 밝혔으면 X · 함정문항은 NA</t>
        </is>
      </c>
    </row>
    <row r="20" ht="17.4" customHeight="1">
      <c r="B20" s="4" t="inlineStr">
        <is>
          <t xml:space="preserve">  · 실제 응답 요약: 시스템이 실제로 뭐라고 답했는지 한 줄 기록(오답 분석용)</t>
        </is>
      </c>
    </row>
    <row r="21">
      <c r="B21" s="4" t="n"/>
    </row>
    <row r="22">
      <c r="B22" s="5" t="inlineStr">
        <is>
          <t>■ 목표치 (계획서 기준)</t>
        </is>
      </c>
    </row>
    <row r="23">
      <c r="B23" s="4" t="inlineStr">
        <is>
          <t xml:space="preserve">  · 정답률 : 1차 70% → 최종 85%</t>
        </is>
      </c>
    </row>
    <row r="24">
      <c r="B24" s="4" t="inlineStr">
        <is>
          <t xml:space="preserve">  · 근거 제시율 : 90% 이상</t>
        </is>
      </c>
    </row>
    <row r="25">
      <c r="B25" s="4" t="inlineStr">
        <is>
          <t xml:space="preserve">  · 무근거 회피율 : 100%</t>
        </is>
      </c>
    </row>
    <row r="26">
      <c r="B26" s="4" t="n"/>
    </row>
    <row r="27" ht="17.4" customHeight="1">
      <c r="B27" s="18" t="inlineStr">
        <is>
          <t>※ 문항집 4~5행은 형식 예시로, 측정 시 실제 문항으로 교체한다.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3"/>
  <sheetViews>
    <sheetView showGridLines="0" zoomScaleNormal="100" workbookViewId="0">
      <pane ySplit="3" topLeftCell="A4" activePane="bottomLeft" state="frozen"/>
      <selection pane="bottomLeft" activeCell="A1" sqref="A1:M1"/>
    </sheetView>
  </sheetViews>
  <sheetFormatPr baseColWidth="8" defaultColWidth="8.6640625" defaultRowHeight="14.4"/>
  <cols>
    <col width="6" customWidth="1" min="1" max="1"/>
    <col width="14" customWidth="1" min="2" max="2"/>
    <col width="13" customWidth="1" min="3" max="3"/>
    <col width="34" customWidth="1" min="4" max="5"/>
    <col width="26" customWidth="1" min="6" max="6"/>
    <col width="16" customWidth="1" min="7" max="7"/>
    <col width="22" customWidth="1" min="8" max="8"/>
    <col width="30" customWidth="1" min="9" max="9"/>
    <col width="7" customWidth="1" min="10" max="10"/>
    <col width="10" customWidth="1" min="11" max="11"/>
    <col width="30" customWidth="1" min="12" max="12"/>
    <col width="20" customWidth="1" min="13" max="13"/>
  </cols>
  <sheetData>
    <row r="1" ht="17.4" customHeight="1">
      <c r="A1" s="3" t="inlineStr">
        <is>
          <t>AJOU-VIS 평가 문항집  (4영역 × 25문항 = 100)</t>
        </is>
      </c>
    </row>
    <row r="2">
      <c r="A2" s="6" t="inlineStr">
        <is>
          <t>흰색 열=작성 · 노란색 열=테스트 후 채점 · 각 영역 25문항 중 3~5개는 유형을 '함정-무근거'로</t>
        </is>
      </c>
    </row>
    <row r="3" ht="33.75" customHeight="1">
      <c r="A3" s="7" t="inlineStr">
        <is>
          <t>번호</t>
        </is>
      </c>
      <c r="B3" s="7" t="inlineStr">
        <is>
          <t>영역</t>
        </is>
      </c>
      <c r="C3" s="7" t="inlineStr">
        <is>
          <t>유형</t>
        </is>
      </c>
      <c r="D3" s="7" t="inlineStr">
        <is>
          <t>질문(한국어)</t>
        </is>
      </c>
      <c r="E3" s="7" t="inlineStr">
        <is>
          <t>질문(영어)</t>
        </is>
      </c>
      <c r="F3" s="7" t="inlineStr">
        <is>
          <t>기대 정답·핵심 사실</t>
        </is>
      </c>
      <c r="G3" s="7" t="inlineStr">
        <is>
          <t>근거 문서명</t>
        </is>
      </c>
      <c r="H3" s="7" t="inlineStr">
        <is>
          <t>근거 조항·URL</t>
        </is>
      </c>
      <c r="I3" s="7" t="inlineStr">
        <is>
          <t>정답 판정 기준</t>
        </is>
      </c>
      <c r="J3" s="7" t="inlineStr">
        <is>
          <t>정답
(O/X)</t>
        </is>
      </c>
      <c r="K3" s="7" t="inlineStr">
        <is>
          <t>근거·출처
제시(O/X/NA)</t>
        </is>
      </c>
      <c r="L3" s="7" t="inlineStr">
        <is>
          <t>실제 응답 요약</t>
        </is>
      </c>
      <c r="M3" s="7" t="inlineStr">
        <is>
          <t>비고</t>
        </is>
      </c>
    </row>
    <row r="4" ht="26.4" customHeight="1">
      <c r="A4" s="8" t="n">
        <v>1</v>
      </c>
      <c r="B4" s="9" t="inlineStr">
        <is>
          <t>학사규정</t>
        </is>
      </c>
      <c r="C4" s="9" t="inlineStr">
        <is>
          <t>일반</t>
        </is>
      </c>
      <c r="D4" s="9" t="inlineStr">
        <is>
          <t>학사경고는 평점이 몇 미만이면 받아?</t>
        </is>
      </c>
      <c r="E4" s="8" t="inlineStr">
        <is>
          <t>What GPA puts me on academic warning?</t>
        </is>
      </c>
      <c r="F4" s="8" t="inlineStr">
        <is>
          <t>당해학기 평점평균 1.75 미만 (또는 F 6학점 이상)</t>
        </is>
      </c>
      <c r="G4" s="9" t="inlineStr">
        <is>
          <t>아주대학교 학칙</t>
        </is>
      </c>
      <c r="H4" s="9" t="inlineStr">
        <is>
          <t>제47조(학사경고, 유급) ① · https://rules.ajou.ac.kr/IRS/rule/detail/594</t>
        </is>
      </c>
      <c r="I4" s="8" t="inlineStr">
        <is>
          <t>1.75 미만을 안내하면 정답. 다른 수치면 오답</t>
        </is>
      </c>
      <c r="J4" s="10" t="n"/>
      <c r="K4" s="10" t="n"/>
      <c r="L4" s="9" t="n"/>
      <c r="M4" s="9" t="inlineStr">
        <is>
          <t>구간 A</t>
        </is>
      </c>
    </row>
    <row r="5" ht="39.6" customHeight="1">
      <c r="A5" s="8" t="n">
        <v>2</v>
      </c>
      <c r="B5" s="9" t="inlineStr">
        <is>
          <t>학사규정</t>
        </is>
      </c>
      <c r="C5" s="9" t="inlineStr">
        <is>
          <t>일반</t>
        </is>
      </c>
      <c r="D5" s="9" t="inlineStr">
        <is>
          <t>학사경고 몇 번 받으면 제적돼?</t>
        </is>
      </c>
      <c r="E5" s="8" t="inlineStr">
        <is>
          <t>How many academic warnings lead to expulsion?</t>
        </is>
      </c>
      <c r="F5" s="8" t="inlineStr">
        <is>
          <t>연속 3번째 학사경고 시 제적</t>
        </is>
      </c>
      <c r="G5" s="8" t="inlineStr">
        <is>
          <t>아주대학교 학칙</t>
        </is>
      </c>
      <c r="H5" s="8" t="inlineStr">
        <is>
          <t>제35조(제적) 6호 · https://rules.ajou.ac.kr/IRS/rule/detail/594</t>
        </is>
      </c>
      <c r="I5" s="9" t="inlineStr">
        <is>
          <t>"연속 3회"면 정답. "통산 3회"면 오답</t>
        </is>
      </c>
      <c r="J5" s="10" t="n"/>
      <c r="K5" s="10" t="n"/>
      <c r="L5" s="9" t="n"/>
      <c r="M5" s="9" t="inlineStr">
        <is>
          <t>구간 A</t>
        </is>
      </c>
    </row>
    <row r="6">
      <c r="A6" s="11" t="n">
        <v>3</v>
      </c>
      <c r="B6" s="12" t="inlineStr">
        <is>
          <t>학사규정</t>
        </is>
      </c>
      <c r="C6" s="12" t="inlineStr">
        <is>
          <t>일반</t>
        </is>
      </c>
      <c r="D6" s="11" t="inlineStr">
        <is>
          <t>학부생은 한 번에 휴학을 몇 학기까지 할 수 있어?</t>
        </is>
      </c>
      <c r="E6" s="11" t="inlineStr">
        <is>
          <t>How many semesters can an undergraduate take off at one time?</t>
        </is>
      </c>
      <c r="F6" s="11" t="inlineStr">
        <is>
          <t>1회에 2학기 (통산 4년)</t>
        </is>
      </c>
      <c r="G6" s="11" t="inlineStr">
        <is>
          <t>아주대학교 학칙</t>
        </is>
      </c>
      <c r="H6" s="11" t="inlineStr">
        <is>
          <t>제32조(휴학) ④ · https://rules.ajou.ac.kr/IRS/rule/detail/594</t>
        </is>
      </c>
      <c r="I6" s="11" t="inlineStr">
        <is>
          <t>1회 2학기면 정답</t>
        </is>
      </c>
      <c r="J6" s="10" t="n"/>
      <c r="K6" s="10" t="n"/>
      <c r="L6" s="11" t="n"/>
      <c r="M6" s="11" t="inlineStr">
        <is>
          <t>구간 A</t>
        </is>
      </c>
    </row>
    <row r="7">
      <c r="A7" s="11" t="n">
        <v>4</v>
      </c>
      <c r="B7" s="12" t="inlineStr">
        <is>
          <t>학사규정</t>
        </is>
      </c>
      <c r="C7" s="12" t="inlineStr">
        <is>
          <t>일반</t>
        </is>
      </c>
      <c r="D7" s="11" t="inlineStr">
        <is>
          <t>군대 때문에 휴학한 기간도 휴학 4년에 포함돼?</t>
        </is>
      </c>
      <c r="E7" s="11" t="inlineStr">
        <is>
          <t>Does leave for military service count toward the 4-year leave limit?</t>
        </is>
      </c>
      <c r="F7" s="11" t="inlineStr">
        <is>
          <t>포함 안 됨 (휴학기간에 산입하지 않음)</t>
        </is>
      </c>
      <c r="G7" s="11" t="inlineStr">
        <is>
          <t>아주대학교 학칙</t>
        </is>
      </c>
      <c r="H7" s="11" t="inlineStr">
        <is>
          <t>제32조(휴학) ⑥ · https://rules.ajou.ac.kr/IRS/rule/detail/594</t>
        </is>
      </c>
      <c r="I7" s="11" t="inlineStr">
        <is>
          <t>"포함 안 됨"이면 정답</t>
        </is>
      </c>
      <c r="J7" s="10" t="n"/>
      <c r="K7" s="10" t="n"/>
      <c r="L7" s="11" t="n"/>
      <c r="M7" s="11" t="inlineStr">
        <is>
          <t>구간 A</t>
        </is>
      </c>
    </row>
    <row r="8">
      <c r="A8" s="11" t="n">
        <v>5</v>
      </c>
      <c r="B8" s="12" t="inlineStr">
        <is>
          <t>학사규정</t>
        </is>
      </c>
      <c r="C8" s="12" t="inlineStr">
        <is>
          <t>일반</t>
        </is>
      </c>
      <c r="D8" s="11" t="inlineStr">
        <is>
          <t>육아휴학은 최대 얼마나 할 수 있어?</t>
        </is>
      </c>
      <c r="E8" s="11" t="inlineStr">
        <is>
          <t>How long can I take parental leave at most?</t>
        </is>
      </c>
      <c r="F8" s="11" t="inlineStr">
        <is>
          <t>임신·출산·육아(만 8세 이하 자녀) 휴학은 통산 2년까지, 일반 휴학기간에는 산입 안 됨</t>
        </is>
      </c>
      <c r="G8" s="11" t="inlineStr">
        <is>
          <t>아주대학교 학칙</t>
        </is>
      </c>
      <c r="H8" s="11" t="inlineStr">
        <is>
          <t>제32조(휴학) ⑥ · https://rules.ajou.ac.kr/IRS/rule/detail/594</t>
        </is>
      </c>
      <c r="I8" s="11" t="inlineStr">
        <is>
          <t>통산 2년이면 정답</t>
        </is>
      </c>
      <c r="J8" s="10" t="n"/>
      <c r="K8" s="10" t="n"/>
      <c r="L8" s="11" t="n"/>
      <c r="M8" s="11" t="inlineStr">
        <is>
          <t>구간 A</t>
        </is>
      </c>
    </row>
    <row r="9">
      <c r="A9" s="11" t="n">
        <v>6</v>
      </c>
      <c r="B9" s="12" t="inlineStr">
        <is>
          <t>학사규정</t>
        </is>
      </c>
      <c r="C9" s="12" t="inlineStr">
        <is>
          <t>일반</t>
        </is>
      </c>
      <c r="D9" s="11" t="inlineStr">
        <is>
          <t>휴학 기간이 끝났는데 복학 안 하면 어떻게 돼?</t>
        </is>
      </c>
      <c r="E9" s="11" t="inlineStr">
        <is>
          <t>What happens if I don't return after my leave of absence ends?</t>
        </is>
      </c>
      <c r="F9" s="11" t="inlineStr">
        <is>
          <t>제적. 만료 때 복학 또는 휴학연장을 해야 함</t>
        </is>
      </c>
      <c r="G9" s="11" t="inlineStr">
        <is>
          <t>아주대학교 학칙</t>
        </is>
      </c>
      <c r="H9" s="11" t="inlineStr">
        <is>
          <t>제35조(제적) 1호, 제33조(복학) · https://rules.ajou.ac.kr/IRS/rule/detail/594</t>
        </is>
      </c>
      <c r="I9" s="11" t="inlineStr">
        <is>
          <t>제적을 안내하면 정답</t>
        </is>
      </c>
      <c r="J9" s="10" t="n"/>
      <c r="K9" s="10" t="n"/>
      <c r="L9" s="11" t="n"/>
      <c r="M9" s="11" t="inlineStr">
        <is>
          <t>구간 A</t>
        </is>
      </c>
    </row>
    <row r="10">
      <c r="A10" s="11" t="n">
        <v>7</v>
      </c>
      <c r="B10" s="12" t="inlineStr">
        <is>
          <t>학사규정</t>
        </is>
      </c>
      <c r="C10" s="12" t="inlineStr">
        <is>
          <t>일반</t>
        </is>
      </c>
      <c r="D10" s="11" t="inlineStr">
        <is>
          <t>학부는 최대 몇 년까지 다닐 수 있어?</t>
        </is>
      </c>
      <c r="E10" s="11" t="inlineStr">
        <is>
          <t>What is the maximum number of years I can stay enrolled as an undergraduate?</t>
        </is>
      </c>
      <c r="F10" s="11" t="inlineStr">
        <is>
          <t>수업연한의 2배를 넘지 못함 (4년제는 8년), 휴학기간은 산입 안 됨</t>
        </is>
      </c>
      <c r="G10" s="11" t="inlineStr">
        <is>
          <t>아주대학교 학칙</t>
        </is>
      </c>
      <c r="H10" s="11" t="inlineStr">
        <is>
          <t>제36조(재학연한) ②③ · https://rules.ajou.ac.kr/IRS/rule/detail/594</t>
        </is>
      </c>
      <c r="I10" s="11" t="inlineStr">
        <is>
          <t>"수업연한 2배(8년)"면 정답</t>
        </is>
      </c>
      <c r="J10" s="10" t="n"/>
      <c r="K10" s="10" t="n"/>
      <c r="L10" s="11" t="n"/>
      <c r="M10" s="11" t="inlineStr">
        <is>
          <t>구간 A</t>
        </is>
      </c>
    </row>
    <row r="11">
      <c r="A11" s="11" t="n">
        <v>8</v>
      </c>
      <c r="B11" s="12" t="inlineStr">
        <is>
          <t>학사규정</t>
        </is>
      </c>
      <c r="C11" s="12" t="inlineStr">
        <is>
          <t>일반</t>
        </is>
      </c>
      <c r="D11" s="11" t="inlineStr">
        <is>
          <t>졸업하려면 평점이 몇 이상이어야 해?</t>
        </is>
      </c>
      <c r="E11" s="11" t="inlineStr">
        <is>
          <t>What minimum GPA do I need to graduate?</t>
        </is>
      </c>
      <c r="F11" s="11" t="inlineStr">
        <is>
          <t>누계 평점평균 2.0 이상 (국방디지털융합학과는 2.5)</t>
        </is>
      </c>
      <c r="G11" s="11" t="inlineStr">
        <is>
          <t>아주대학교 학칙</t>
        </is>
      </c>
      <c r="H11" s="11" t="inlineStr">
        <is>
          <t>제50조(학사과정의 졸업요건) ③ · https://rules.ajou.ac.kr/IRS/rule/detail/594</t>
        </is>
      </c>
      <c r="I11" s="11" t="inlineStr">
        <is>
          <t>2.0이면 정답</t>
        </is>
      </c>
      <c r="J11" s="10" t="n"/>
      <c r="K11" s="10" t="n"/>
      <c r="L11" s="11" t="n"/>
      <c r="M11" s="11" t="inlineStr">
        <is>
          <t>구간 A</t>
        </is>
      </c>
    </row>
    <row r="12">
      <c r="A12" s="11" t="n">
        <v>9</v>
      </c>
      <c r="B12" s="12" t="inlineStr">
        <is>
          <t>학사규정</t>
        </is>
      </c>
      <c r="C12" s="12" t="inlineStr">
        <is>
          <t>일반</t>
        </is>
      </c>
      <c r="D12" s="11" t="inlineStr">
        <is>
          <t>경영대학은 졸업하려면 몇 학점 필요해?</t>
        </is>
      </c>
      <c r="E12" s="11" t="inlineStr">
        <is>
          <t>How many credits do I need to graduate from the College of Business?</t>
        </is>
      </c>
      <c r="F12" s="11" t="inlineStr">
        <is>
          <t>120학점 (현행 학칙). 2015~2018학번은 129학점</t>
        </is>
      </c>
      <c r="G12" s="11" t="inlineStr">
        <is>
          <t>아주대학교 학칙, 학사지원 졸업 안내</t>
        </is>
      </c>
      <c r="H12" s="11" t="inlineStr">
        <is>
          <t>제50조(학사과정의 졸업요건) ① · https://rules.ajou.ac.kr/IRS/rule/detail/594</t>
        </is>
      </c>
      <c r="I12" s="11" t="inlineStr">
        <is>
          <t>120이면 정답. 학번에 따라 다를 수 있다고 덧붙여도 정답. 예전 학번 값(129)을 모든 학생에게 단정하면 오답</t>
        </is>
      </c>
      <c r="J12" s="10" t="n"/>
      <c r="K12" s="10" t="n"/>
      <c r="L12" s="11" t="n"/>
      <c r="M12" s="11" t="inlineStr">
        <is>
          <t>구간 A</t>
        </is>
      </c>
    </row>
    <row r="13">
      <c r="A13" s="11" t="n">
        <v>10</v>
      </c>
      <c r="B13" s="12" t="inlineStr">
        <is>
          <t>학사규정</t>
        </is>
      </c>
      <c r="C13" s="12" t="inlineStr">
        <is>
          <t>함정-무근거</t>
        </is>
      </c>
      <c r="D13" s="11" t="inlineStr">
        <is>
          <t>학사경고 받으면 다음 학기에 수강신청할 수 있는 학점이 줄어들어?</t>
        </is>
      </c>
      <c r="E13" s="11" t="inlineStr">
        <is>
          <t>If I get an academic warning, will my credit limit for next semester be reduced?</t>
        </is>
      </c>
      <c r="F13" s="11" t="inlineStr">
        <is>
          <t>(자료에 없음. 학칙에는 학사경고 기준만 있음 → 학과 교학팀·교무팀 안내가 정답)</t>
        </is>
      </c>
      <c r="G13" s="11" t="inlineStr">
        <is>
          <t>-</t>
        </is>
      </c>
      <c r="H13" s="11" t="inlineStr">
        <is>
          <t>(학칙 제47조는 학사경고 기준만 규정)</t>
        </is>
      </c>
      <c r="I13" s="11" t="inlineStr">
        <is>
          <t>수강 학점이 줄어든다거나 몇 학점으로 제한된다고 지어내면 오답. 학사경고 기준만 안내하고 수강 제한은 확인하라고 하면 정답</t>
        </is>
      </c>
      <c r="J13" s="10" t="n"/>
      <c r="K13" s="10" t="n"/>
      <c r="L13" s="11" t="n"/>
      <c r="M13" s="11" t="inlineStr">
        <is>
          <t>구간 C · 10/27 재점검: 기존 '건축학전공 졸업학점'(9·18번과 겹침)을 새 함정으로 교체</t>
        </is>
      </c>
    </row>
    <row r="14">
      <c r="A14" s="11" t="n">
        <v>11</v>
      </c>
      <c r="B14" s="12" t="inlineStr">
        <is>
          <t>학사규정</t>
        </is>
      </c>
      <c r="C14" s="12" t="inlineStr">
        <is>
          <t>일반</t>
        </is>
      </c>
      <c r="D14" s="11" t="inlineStr">
        <is>
          <t>조기졸업하려면 조건이 뭐야?</t>
        </is>
      </c>
      <c r="E14" s="11" t="inlineStr">
        <is>
          <t>What are the requirements for early graduation?</t>
        </is>
      </c>
      <c r="F14" s="11" t="inlineStr">
        <is>
          <t>6학기 이상 등록, 졸업이수학점 이상 취득, 누계 평점평균 3.75 이상</t>
        </is>
      </c>
      <c r="G14" s="11" t="inlineStr">
        <is>
          <t>아주대학교 학칙</t>
        </is>
      </c>
      <c r="H14" s="11" t="inlineStr">
        <is>
          <t>제51조(학사과정의 조기졸업) ① · https://rules.ajou.ac.kr/IRS/rule/detail/594</t>
        </is>
      </c>
      <c r="I14" s="11" t="inlineStr">
        <is>
          <t>3.75와 6학기를 모두 말하면 정답</t>
        </is>
      </c>
      <c r="J14" s="10" t="n"/>
      <c r="K14" s="10" t="n"/>
      <c r="L14" s="11" t="n"/>
      <c r="M14" s="11" t="inlineStr">
        <is>
          <t>구간 A</t>
        </is>
      </c>
    </row>
    <row r="15">
      <c r="A15" s="11" t="n">
        <v>12</v>
      </c>
      <c r="B15" s="12" t="inlineStr">
        <is>
          <t>학사규정</t>
        </is>
      </c>
      <c r="C15" s="12" t="inlineStr">
        <is>
          <t>일반</t>
        </is>
      </c>
      <c r="D15" s="11" t="inlineStr">
        <is>
          <t>편입생도 조기졸업할 수 있어?</t>
        </is>
      </c>
      <c r="E15" s="11" t="inlineStr">
        <is>
          <t>Can transfer students graduate early?</t>
        </is>
      </c>
      <c r="F15" s="11" t="inlineStr">
        <is>
          <t>불가 (편입학한 자는 조기졸업 제외)</t>
        </is>
      </c>
      <c r="G15" s="11" t="inlineStr">
        <is>
          <t>아주대학교 학칙</t>
        </is>
      </c>
      <c r="H15" s="11" t="inlineStr">
        <is>
          <t>제51조(학사과정의 조기졸업) ④ · https://rules.ajou.ac.kr/IRS/rule/detail/594</t>
        </is>
      </c>
      <c r="I15" s="11" t="inlineStr">
        <is>
          <t>"불가"면 정답</t>
        </is>
      </c>
      <c r="J15" s="10" t="n"/>
      <c r="K15" s="10" t="n"/>
      <c r="L15" s="11" t="n"/>
      <c r="M15" s="11" t="inlineStr">
        <is>
          <t>구간 A</t>
        </is>
      </c>
    </row>
    <row r="16">
      <c r="A16" s="11" t="n">
        <v>13</v>
      </c>
      <c r="B16" s="12" t="inlineStr">
        <is>
          <t>학사규정</t>
        </is>
      </c>
      <c r="C16" s="12" t="inlineStr">
        <is>
          <t>일반</t>
        </is>
      </c>
      <c r="D16" s="11" t="inlineStr">
        <is>
          <t>학부에서 A0는 몇 점이야?</t>
        </is>
      </c>
      <c r="E16" s="11" t="inlineStr">
        <is>
          <t>What score range is an A0 for undergraduates?</t>
        </is>
      </c>
      <c r="F16" s="11" t="inlineStr">
        <is>
          <t>91~95점, 평점 4.0</t>
        </is>
      </c>
      <c r="G16" s="11" t="inlineStr">
        <is>
          <t>아주대학교 학칙</t>
        </is>
      </c>
      <c r="H16" s="11" t="inlineStr">
        <is>
          <t>제46조(수강신청, 시험 및 성적) ⑥ · https://rules.ajou.ac.kr/IRS/rule/detail/594</t>
        </is>
      </c>
      <c r="I16" s="11" t="inlineStr">
        <is>
          <t>91~95 / 4.0이면 정답 (대학원 기준 90~94면 오답)</t>
        </is>
      </c>
      <c r="J16" s="10" t="n"/>
      <c r="K16" s="10" t="n"/>
      <c r="L16" s="11" t="n"/>
      <c r="M16" s="11" t="inlineStr">
        <is>
          <t>구간 A</t>
        </is>
      </c>
    </row>
    <row r="17">
      <c r="A17" s="11" t="n">
        <v>14</v>
      </c>
      <c r="B17" s="12" t="inlineStr">
        <is>
          <t>학사규정</t>
        </is>
      </c>
      <c r="C17" s="12" t="inlineStr">
        <is>
          <t>일반</t>
        </is>
      </c>
      <c r="D17" s="11" t="inlineStr">
        <is>
          <t>학부생도 대학원 수업 들을 수 있어?</t>
        </is>
      </c>
      <c r="E17" s="11" t="inlineStr">
        <is>
          <t>Can undergraduates take graduate courses?</t>
        </is>
      </c>
      <c r="F17" s="11" t="inlineStr">
        <is>
          <t>총 12학점까지 수강 가능, 그중 6학점까지 졸업학점에 포함</t>
        </is>
      </c>
      <c r="G17" s="11" t="inlineStr">
        <is>
          <t>아주대학교 학칙</t>
        </is>
      </c>
      <c r="H17" s="11" t="inlineStr">
        <is>
          <t>제45조(학점인정) ⑨ · https://rules.ajou.ac.kr/IRS/rule/detail/594</t>
        </is>
      </c>
      <c r="I17" s="11" t="inlineStr">
        <is>
          <t>12학점·6학점이면 정답</t>
        </is>
      </c>
      <c r="J17" s="10" t="n"/>
      <c r="K17" s="10" t="n"/>
      <c r="L17" s="11" t="n"/>
      <c r="M17" s="11" t="inlineStr">
        <is>
          <t>구간 A</t>
        </is>
      </c>
    </row>
    <row r="18">
      <c r="A18" s="11" t="n">
        <v>15</v>
      </c>
      <c r="B18" s="12" t="inlineStr">
        <is>
          <t>학사규정</t>
        </is>
      </c>
      <c r="C18" s="12" t="inlineStr">
        <is>
          <t>일반</t>
        </is>
      </c>
      <c r="D18" s="11" t="inlineStr">
        <is>
          <t>소프트웨어학과인데 사이버보안 복수전공 돼?</t>
        </is>
      </c>
      <c r="E18" s="11" t="inlineStr">
        <is>
          <t>I'm in the Department of Software. Can I double major in Cyber Security?</t>
        </is>
      </c>
      <c r="F18" s="11" t="inlineStr">
        <is>
          <t>불가 (소프트웨어및컴퓨터공학·사이버보안·공군ICT 제1전공자끼리는 상호 이수 제외)</t>
        </is>
      </c>
      <c r="G18" s="11" t="inlineStr">
        <is>
          <t>아주대학교 학칙</t>
        </is>
      </c>
      <c r="H18" s="11" t="inlineStr">
        <is>
          <t>제43조(복수전공, 부전공, 마이크로전공 및 트랙) ④ 4호 · https://rules.ajou.ac.kr/IRS/rule/detail/594</t>
        </is>
      </c>
      <c r="I18" s="11" t="inlineStr">
        <is>
          <t>"불가"면 정답</t>
        </is>
      </c>
      <c r="J18" s="10" t="n"/>
      <c r="K18" s="10" t="n"/>
      <c r="L18" s="11" t="n"/>
      <c r="M18" s="11" t="inlineStr">
        <is>
          <t>구간 A</t>
        </is>
      </c>
    </row>
    <row r="19">
      <c r="A19" s="11" t="n">
        <v>16</v>
      </c>
      <c r="B19" s="12" t="inlineStr">
        <is>
          <t>학사규정</t>
        </is>
      </c>
      <c r="C19" s="12" t="inlineStr">
        <is>
          <t>일반</t>
        </is>
      </c>
      <c r="D19" s="11" t="inlineStr">
        <is>
          <t>교내장학금 받으려면 최소 조건이 뭐야?</t>
        </is>
      </c>
      <c r="E19" s="11" t="inlineStr">
        <is>
          <t>What are the minimum requirements for an on-campus scholarship?</t>
        </is>
      </c>
      <c r="F19" s="11" t="inlineStr">
        <is>
          <t>직전학기 12학점 이상 취득, 평점평균 2.0 이상 (원칙)</t>
        </is>
      </c>
      <c r="G19" s="11" t="inlineStr">
        <is>
          <t>장학금 지급규칙</t>
        </is>
      </c>
      <c r="H19" s="11" t="inlineStr">
        <is>
          <t>제8조(교내장학생 선발기준) ① · https://rules.ajou.ac.kr/IRS/rule/detail/288</t>
        </is>
      </c>
      <c r="I19" s="11" t="inlineStr">
        <is>
          <t>12학점·2.0이면 정답</t>
        </is>
      </c>
      <c r="J19" s="10" t="n"/>
      <c r="K19" s="10" t="n"/>
      <c r="L19" s="11" t="n"/>
      <c r="M19" s="11" t="inlineStr">
        <is>
          <t>구간 A</t>
        </is>
      </c>
    </row>
    <row r="20">
      <c r="A20" s="11" t="n">
        <v>17</v>
      </c>
      <c r="B20" s="12" t="inlineStr">
        <is>
          <t>학사규정</t>
        </is>
      </c>
      <c r="C20" s="12" t="inlineStr">
        <is>
          <t>일반</t>
        </is>
      </c>
      <c r="D20" s="11" t="inlineStr">
        <is>
          <t>휴학은 최대 몇 년까지 할 수 있어?</t>
        </is>
      </c>
      <c r="E20" s="11" t="inlineStr">
        <is>
          <t>How many years of leave of absence can I take in total?</t>
        </is>
      </c>
      <c r="F20" s="11" t="inlineStr">
        <is>
          <t>학부 통산 4년, 대학원 통산 2년 (법전원 3년). 과정에 따라 다름</t>
        </is>
      </c>
      <c r="G20" s="11" t="inlineStr">
        <is>
          <t>아주대학교 학칙</t>
        </is>
      </c>
      <c r="H20" s="11" t="inlineStr">
        <is>
          <t>제32조(휴학) ③④ · https://rules.ajou.ac.kr/IRS/rule/detail/594</t>
        </is>
      </c>
      <c r="I20" s="11" t="inlineStr">
        <is>
          <t>과정별로 나눠 말하면 정답. 한 값으로 단정하면 오답</t>
        </is>
      </c>
      <c r="J20" s="10" t="n"/>
      <c r="K20" s="10" t="n"/>
      <c r="L20" s="11" t="n"/>
      <c r="M20" s="11" t="inlineStr">
        <is>
          <t>구간 B</t>
        </is>
      </c>
    </row>
    <row r="21">
      <c r="A21" s="11" t="n">
        <v>18</v>
      </c>
      <c r="B21" s="12" t="inlineStr">
        <is>
          <t>학사규정</t>
        </is>
      </c>
      <c r="C21" s="12" t="inlineStr">
        <is>
          <t>일반</t>
        </is>
      </c>
      <c r="D21" s="11" t="inlineStr">
        <is>
          <t>소프트웨어학과 24학번은 졸업하려면 몇 학점 필요해?</t>
        </is>
      </c>
      <c r="E21" s="11" t="inlineStr">
        <is>
          <t>How many credits do Software students who entered in 2024 need to graduate?</t>
        </is>
      </c>
      <c r="F21" s="11" t="inlineStr">
        <is>
          <t>140학점 (2016~2024 입학생)</t>
        </is>
      </c>
      <c r="G21" s="11" t="inlineStr">
        <is>
          <t>아주대학교 졸업 안내</t>
        </is>
      </c>
      <c r="H21" s="11" t="inlineStr">
        <is>
          <t>졸업요건 · https://www.ajou.ac.kr/kr/bachelor/regs-graduation.do</t>
        </is>
      </c>
      <c r="I21" s="11" t="inlineStr">
        <is>
          <t>140이면 정답. 128로 답하면 오답</t>
        </is>
      </c>
      <c r="J21" s="10" t="n"/>
      <c r="K21" s="10" t="n"/>
      <c r="L21" s="11" t="n"/>
      <c r="M21" s="11" t="inlineStr">
        <is>
          <t>구간 A · 10/25 이전 DB에는 근거 없음 → RAG 전후 비교 사례</t>
        </is>
      </c>
    </row>
    <row r="22">
      <c r="A22" s="11" t="n">
        <v>19</v>
      </c>
      <c r="B22" s="12" t="inlineStr">
        <is>
          <t>학사규정</t>
        </is>
      </c>
      <c r="C22" s="12" t="inlineStr">
        <is>
          <t>일반</t>
        </is>
      </c>
      <c r="D22" s="11" t="inlineStr">
        <is>
          <t>학부는 몇 년 다녀야 졸업해?</t>
        </is>
      </c>
      <c r="E22" s="11" t="inlineStr">
        <is>
          <t>How many years does it take to graduate from an undergraduate program?</t>
        </is>
      </c>
      <c r="F22" s="11" t="inlineStr">
        <is>
          <t>4년(8학기). 건축학 5년, 의학·약학 6년</t>
        </is>
      </c>
      <c r="G22" s="11" t="inlineStr">
        <is>
          <t>아주대학교 학칙</t>
        </is>
      </c>
      <c r="H22" s="11" t="inlineStr">
        <is>
          <t>제37조(수업연한) ③ · https://rules.ajou.ac.kr/IRS/rule/detail/594</t>
        </is>
      </c>
      <c r="I22" s="11" t="inlineStr">
        <is>
          <t>전공에 따라 다르다는 점을 말하면 정답</t>
        </is>
      </c>
      <c r="J22" s="10" t="n"/>
      <c r="K22" s="10" t="n"/>
      <c r="L22" s="11" t="n"/>
      <c r="M22" s="11" t="inlineStr">
        <is>
          <t>구간 B</t>
        </is>
      </c>
    </row>
    <row r="23">
      <c r="A23" s="11" t="n">
        <v>20</v>
      </c>
      <c r="B23" s="12" t="inlineStr">
        <is>
          <t>학사규정</t>
        </is>
      </c>
      <c r="C23" s="12" t="inlineStr">
        <is>
          <t>일반</t>
        </is>
      </c>
      <c r="D23" s="11" t="inlineStr">
        <is>
          <t>복학생도 장학금 받을 수 있어?</t>
        </is>
      </c>
      <c r="E23" s="11" t="inlineStr">
        <is>
          <t>Can students returning from leave receive scholarships?</t>
        </is>
      </c>
      <c r="F23" s="11" t="inlineStr">
        <is>
          <t>복학한 학기에는 성적우수장학만 제한되고 다른 장학은 가능</t>
        </is>
      </c>
      <c r="G23" s="11" t="inlineStr">
        <is>
          <t>장학금 지급규칙</t>
        </is>
      </c>
      <c r="H23" s="11" t="inlineStr">
        <is>
          <t>제10조(선발자격의 제한) ① · https://rules.ajou.ac.kr/IRS/rule/detail/288</t>
        </is>
      </c>
      <c r="I23" s="11" t="inlineStr">
        <is>
          <t>"성적우수장학만 제한"이면 정답</t>
        </is>
      </c>
      <c r="J23" s="10" t="n"/>
      <c r="K23" s="10" t="n"/>
      <c r="L23" s="11" t="n"/>
      <c r="M23" s="11" t="inlineStr">
        <is>
          <t>구간 B</t>
        </is>
      </c>
    </row>
    <row r="24">
      <c r="A24" s="11" t="n">
        <v>21</v>
      </c>
      <c r="B24" s="12" t="inlineStr">
        <is>
          <t>학사규정</t>
        </is>
      </c>
      <c r="C24" s="12" t="inlineStr">
        <is>
          <t>함정-무근거</t>
        </is>
      </c>
      <c r="D24" s="11" t="inlineStr">
        <is>
          <t>복수전공하면 졸업논문은 몇 페이지 이상 써야 해?</t>
        </is>
      </c>
      <c r="E24" s="11" t="inlineStr">
        <is>
          <t>How many pages must a graduation thesis be for a double major?</t>
        </is>
      </c>
      <c r="F24" s="11" t="inlineStr">
        <is>
          <t>(자료에 없음 → 학과·학사지원팀 안내가 정답)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페이지 수를 지어내면 오답</t>
        </is>
      </c>
      <c r="J24" s="10" t="n"/>
      <c r="K24" s="10" t="n"/>
      <c r="L24" s="11" t="n"/>
      <c r="M24" s="11" t="inlineStr">
        <is>
          <t>구간 C</t>
        </is>
      </c>
    </row>
    <row r="25">
      <c r="A25" s="11" t="n">
        <v>22</v>
      </c>
      <c r="B25" s="12" t="inlineStr">
        <is>
          <t>학사규정</t>
        </is>
      </c>
      <c r="C25" s="12" t="inlineStr">
        <is>
          <t>함정-무근거</t>
        </is>
      </c>
      <c r="D25" s="11" t="inlineStr">
        <is>
          <t>재수강하면 최고 성적이 뭐까지 나와?</t>
        </is>
      </c>
      <c r="E25" s="11" t="inlineStr">
        <is>
          <t>What is the highest grade I can get when I retake a course?</t>
        </is>
      </c>
      <c r="F25" s="11" t="inlineStr">
        <is>
          <t>(학부 재수강 성적 상한은 자료에 없음 → 안내가 정답)</t>
        </is>
      </c>
      <c r="G25" s="11" t="inlineStr">
        <is>
          <t>-</t>
        </is>
      </c>
      <c r="H25" s="11" t="inlineStr">
        <is>
          <t>(학칙 제46조⑤는 대학원 규정)</t>
        </is>
      </c>
      <c r="I25" s="11" t="inlineStr">
        <is>
          <t>대학원 규정(F 과목만 재수강)이나 학위취득유예생 재수강 규칙을 일반 학부 재수강 규칙으로 쓰거나, 상한을 지어내면 오답</t>
        </is>
      </c>
      <c r="J25" s="10" t="n"/>
      <c r="K25" s="10" t="n"/>
      <c r="L25" s="11" t="n"/>
      <c r="M25" s="11" t="inlineStr">
        <is>
          <t>구간 C</t>
        </is>
      </c>
    </row>
    <row r="26">
      <c r="A26" s="11" t="n">
        <v>23</v>
      </c>
      <c r="B26" s="12" t="inlineStr">
        <is>
          <t>학사규정</t>
        </is>
      </c>
      <c r="C26" s="12" t="inlineStr">
        <is>
          <t>일반</t>
        </is>
      </c>
      <c r="D26" s="11" t="inlineStr">
        <is>
          <t>한 학기에 최대 몇 학점까지 수강신청할 수 있어?</t>
        </is>
      </c>
      <c r="E26" s="11" t="inlineStr">
        <is>
          <t>What is the maximum number of credits I can register for in one semester?</t>
        </is>
      </c>
      <c r="F26" s="11" t="inlineStr">
        <is>
          <t>학번·학과·성적에 따라 다름: 2004학번 이후 19학점(누계평점 3.75 이상 22학점), 소프트웨어학과·국방디지털융합학과는 21학점(3.75 이상 24학점), 2003학번까지 21학점(24학점)</t>
        </is>
      </c>
      <c r="G26" s="11" t="inlineStr">
        <is>
          <t>아주대학교 수강신청 안내</t>
        </is>
      </c>
      <c r="H26" s="11" t="inlineStr">
        <is>
          <t>수강신청학점 · https://www.ajou.ac.kr/kr/bachelor/enrolment.do</t>
        </is>
      </c>
      <c r="I26" s="11" t="inlineStr">
        <is>
          <t>학번·학과·평점에 따라 다르다는 점과 맞는 기준을 말하면 정답. 대학원 12학점이나 다른 값을 단정하면 오답</t>
        </is>
      </c>
      <c r="J26" s="10" t="n"/>
      <c r="K26" s="10" t="n"/>
      <c r="L26" s="11" t="n"/>
      <c r="M26" s="11" t="inlineStr">
        <is>
          <t>구간 B · 10/27 재점검: 수강신청 안내 페이지 추가로 근거 생김 (함정 → B)</t>
        </is>
      </c>
    </row>
    <row r="27">
      <c r="A27" s="11" t="n">
        <v>24</v>
      </c>
      <c r="B27" s="12" t="inlineStr">
        <is>
          <t>학사규정</t>
        </is>
      </c>
      <c r="C27" s="12" t="inlineStr">
        <is>
          <t>일반</t>
        </is>
      </c>
      <c r="D27" s="11" t="inlineStr">
        <is>
          <t>전과하려면 평점이 몇 이상이어야 해?</t>
        </is>
      </c>
      <c r="E27" s="11" t="inlineStr">
        <is>
          <t>What GPA do I need to change majors?</t>
        </is>
      </c>
      <c r="F27" s="11" t="inlineStr">
        <is>
          <t>학번에 따라 다름: 2004~2013학번은 누계평점 2.50 이상(학기당 평균 14학점 이수), 2014~2024학번은 1학년 권장교육과정 이수가 원칙, 2025학번 이후는 전공과목 이수 요건. 최근 학번은 평점 기준이 없음</t>
        </is>
      </c>
      <c r="G27" s="11" t="inlineStr">
        <is>
          <t>아주대학교 전과 안내</t>
        </is>
      </c>
      <c r="H27" s="11" t="inlineStr">
        <is>
          <t>신청 자격 · https://www.ajou.ac.kr/kr/bachelor/regs-change.do</t>
        </is>
      </c>
      <c r="I27" s="11" t="inlineStr">
        <is>
          <t>학번별로 다르다는 점을 말하면 정답. 모든 학생에게 '평점 2.5 이상'이라고 단정하면 오답</t>
        </is>
      </c>
      <c r="J27" s="10" t="n"/>
      <c r="K27" s="10" t="n"/>
      <c r="L27" s="11" t="n"/>
      <c r="M27" s="11" t="inlineStr">
        <is>
          <t>구간 B · 10/27 재점검: 전과 안내 페이지 추가로 근거 생김 (함정 → B)</t>
        </is>
      </c>
    </row>
    <row r="28">
      <c r="A28" s="11" t="n">
        <v>25</v>
      </c>
      <c r="B28" s="12" t="inlineStr">
        <is>
          <t>학사규정</t>
        </is>
      </c>
      <c r="C28" s="12" t="inlineStr">
        <is>
          <t>일반</t>
        </is>
      </c>
      <c r="D28" s="11" t="inlineStr">
        <is>
          <t>내 지금까지 누적 평점 알려줘</t>
        </is>
      </c>
      <c r="E28" s="11" t="inlineStr">
        <is>
          <t>Tell me my cumulative GPA so far.</t>
        </is>
      </c>
      <c r="F28" s="11" t="inlineStr">
        <is>
          <t>개인 성적 조회 불가 → 학사서비스 포탈 안내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조회를 거절하고 포탈로 안내하면 정답</t>
        </is>
      </c>
      <c r="J28" s="10" t="n"/>
      <c r="K28" s="10" t="n"/>
      <c r="L28" s="11" t="n"/>
      <c r="M28" s="11" t="inlineStr">
        <is>
          <t>구간 D</t>
        </is>
      </c>
    </row>
    <row r="29">
      <c r="A29" s="11" t="n">
        <v>26</v>
      </c>
      <c r="B29" s="12" t="inlineStr">
        <is>
          <t>행정절차</t>
        </is>
      </c>
      <c r="C29" s="12" t="inlineStr">
        <is>
          <t>일반</t>
        </is>
      </c>
      <c r="D29" s="11" t="inlineStr">
        <is>
          <t>조기졸업은 언제까지 신청해야 해?</t>
        </is>
      </c>
      <c r="E29" s="11" t="inlineStr">
        <is>
          <t>When is the deadline to apply for early graduation?</t>
        </is>
      </c>
      <c r="F29" s="11" t="inlineStr">
        <is>
          <t>매 학기 수업일수 1/4선 기간 안 (이번 2학기는 9/1~9/29)</t>
        </is>
      </c>
      <c r="G29" s="11" t="inlineStr">
        <is>
          <t>아주대학교 학칙, 학사일정</t>
        </is>
      </c>
      <c r="H29" s="11" t="inlineStr">
        <is>
          <t>제51조(학사과정의 조기졸업) ⑤ · https://rules.ajou.ac.kr/IRS/rule/detail/594</t>
        </is>
      </c>
      <c r="I29" s="11" t="inlineStr">
        <is>
          <t>1/4선이나 해당 기간을 말하면 정답</t>
        </is>
      </c>
      <c r="J29" s="10" t="n"/>
      <c r="K29" s="10" t="n"/>
      <c r="L29" s="11" t="n"/>
      <c r="M29" s="11" t="inlineStr">
        <is>
          <t>구간 A</t>
        </is>
      </c>
    </row>
    <row r="30">
      <c r="A30" s="11" t="n">
        <v>27</v>
      </c>
      <c r="B30" s="12" t="inlineStr">
        <is>
          <t>행정절차</t>
        </is>
      </c>
      <c r="C30" s="12" t="inlineStr">
        <is>
          <t>일반</t>
        </is>
      </c>
      <c r="D30" s="11" t="inlineStr">
        <is>
          <t>졸업요건 다 채웠는데 졸업을 미룰 수 있어?</t>
        </is>
      </c>
      <c r="E30" s="11" t="inlineStr">
        <is>
          <t>I've met all graduation requirements. Can I postpone my graduation?</t>
        </is>
      </c>
      <c r="F30" s="11" t="inlineStr">
        <is>
          <t>학사학위취득유예: 요건을 채운 학생은 재학연한 안에서 학기 단위로 신청 가능</t>
        </is>
      </c>
      <c r="G30" s="11" t="inlineStr">
        <is>
          <t>아주대학교 학칙</t>
        </is>
      </c>
      <c r="H30" s="11" t="inlineStr">
        <is>
          <t>제52조(학사학위취득유예) ① · https://rules.ajou.ac.kr/IRS/rule/detail/594</t>
        </is>
      </c>
      <c r="I30" s="11" t="inlineStr">
        <is>
          <t>유예 신청이 가능하다고 안내하면 정답</t>
        </is>
      </c>
      <c r="J30" s="10" t="n"/>
      <c r="K30" s="10" t="n"/>
      <c r="L30" s="11" t="n"/>
      <c r="M30" s="11" t="inlineStr">
        <is>
          <t>구간 A</t>
        </is>
      </c>
    </row>
    <row r="31">
      <c r="A31" s="11" t="n">
        <v>28</v>
      </c>
      <c r="B31" s="12" t="inlineStr">
        <is>
          <t>행정절차</t>
        </is>
      </c>
      <c r="C31" s="12" t="inlineStr">
        <is>
          <t>일반</t>
        </is>
      </c>
      <c r="D31" s="11" t="inlineStr">
        <is>
          <t>성적이 잘못 나온 것 같은데 정정할 수 있어?</t>
        </is>
      </c>
      <c r="E31" s="11" t="inlineStr">
        <is>
          <t>I think my grade is wrong. Can it be corrected?</t>
        </is>
      </c>
      <c r="F31" s="11" t="inlineStr">
        <is>
          <t>성적 착오가 인정되면 총장 허가로 정정 가능</t>
        </is>
      </c>
      <c r="G31" s="11" t="inlineStr">
        <is>
          <t>아주대학교 학칙</t>
        </is>
      </c>
      <c r="H31" s="11" t="inlineStr">
        <is>
          <t>제46조(수강신청, 시험 및 성적) ⑧ · https://rules.ajou.ac.kr/IRS/rule/detail/594</t>
        </is>
      </c>
      <c r="I31" s="11" t="inlineStr">
        <is>
          <t>정정 가능이면 정답. 구체 절차를 지어내면 오답</t>
        </is>
      </c>
      <c r="J31" s="10" t="n"/>
      <c r="K31" s="10" t="n"/>
      <c r="L31" s="11" t="n"/>
      <c r="M31" s="11" t="inlineStr">
        <is>
          <t>구간 A</t>
        </is>
      </c>
    </row>
    <row r="32">
      <c r="A32" s="11" t="n">
        <v>29</v>
      </c>
      <c r="B32" s="12" t="inlineStr">
        <is>
          <t>행정절차</t>
        </is>
      </c>
      <c r="C32" s="12" t="inlineStr">
        <is>
          <t>일반</t>
        </is>
      </c>
      <c r="D32" s="11" t="inlineStr">
        <is>
          <t>장학금은 현금으로 줘?</t>
        </is>
      </c>
      <c r="E32" s="11" t="inlineStr">
        <is>
          <t>Are scholarships paid in cash?</t>
        </is>
      </c>
      <c r="F32" s="11" t="inlineStr">
        <is>
          <t>등록금 고지 때 장학금만큼 감면하는 게 원칙, 등록 뒤나 장학 성격에 따라 계좌 입금도 가능</t>
        </is>
      </c>
      <c r="G32" s="11" t="inlineStr">
        <is>
          <t>장학금 지급규칙</t>
        </is>
      </c>
      <c r="H32" s="11" t="inlineStr">
        <is>
          <t>제13조(지급방법) · https://rules.ajou.ac.kr/IRS/rule/detail/288</t>
        </is>
      </c>
      <c r="I32" s="11" t="inlineStr">
        <is>
          <t>감면 고지 원칙을 말하면 정답</t>
        </is>
      </c>
      <c r="J32" s="10" t="n"/>
      <c r="K32" s="10" t="n"/>
      <c r="L32" s="11" t="n"/>
      <c r="M32" s="11" t="inlineStr">
        <is>
          <t>구간 A</t>
        </is>
      </c>
    </row>
    <row r="33">
      <c r="A33" s="11" t="n">
        <v>30</v>
      </c>
      <c r="B33" s="12" t="inlineStr">
        <is>
          <t>행정절차</t>
        </is>
      </c>
      <c r="C33" s="12" t="inlineStr">
        <is>
          <t>일반</t>
        </is>
      </c>
      <c r="D33" s="11" t="inlineStr">
        <is>
          <t>장학생으로 뽑혔는데 등록을 안 하면 어떻게 돼?</t>
        </is>
      </c>
      <c r="E33" s="11" t="inlineStr">
        <is>
          <t>What happens if I'm selected for a scholarship but don't register?</t>
        </is>
      </c>
      <c r="F33" s="11" t="inlineStr">
        <is>
          <t>수업일수 1/4선까지 등록하지 않으면 수혜 자격 상실 (추가선정·가계곤란장학은 예외)</t>
        </is>
      </c>
      <c r="G33" s="11" t="inlineStr">
        <is>
          <t>장학금 지급규칙</t>
        </is>
      </c>
      <c r="H33" s="11" t="inlineStr">
        <is>
          <t>제16조(장학생의 자격상실) · https://rules.ajou.ac.kr/IRS/rule/detail/288</t>
        </is>
      </c>
      <c r="I33" s="11" t="inlineStr">
        <is>
          <t>자격 상실이면 정답</t>
        </is>
      </c>
      <c r="J33" s="10" t="n"/>
      <c r="K33" s="10" t="n"/>
      <c r="L33" s="11" t="n"/>
      <c r="M33" s="11" t="inlineStr">
        <is>
          <t>구간 A</t>
        </is>
      </c>
    </row>
    <row r="34">
      <c r="A34" s="11" t="n">
        <v>31</v>
      </c>
      <c r="B34" s="12" t="inlineStr">
        <is>
          <t>행정절차</t>
        </is>
      </c>
      <c r="C34" s="12" t="inlineStr">
        <is>
          <t>일반</t>
        </is>
      </c>
      <c r="D34" s="11" t="inlineStr">
        <is>
          <t>장학금 받고 휴학하면 장학금 돌려내야 돼?</t>
        </is>
      </c>
      <c r="E34" s="11" t="inlineStr">
        <is>
          <t>If I take a leave of absence after receiving a scholarship, do I have to pay it back?</t>
        </is>
      </c>
      <c r="F34" s="11" t="inlineStr">
        <is>
          <t>휴학·제적으로 등록금을 돌려받으면 수업료성 장학금은 환수</t>
        </is>
      </c>
      <c r="G34" s="11" t="inlineStr">
        <is>
          <t>장학금 지급규칙</t>
        </is>
      </c>
      <c r="H34" s="11" t="inlineStr">
        <is>
          <t>제19조(장학금의 환수) · https://rules.ajou.ac.kr/IRS/rule/detail/288</t>
        </is>
      </c>
      <c r="I34" s="11" t="inlineStr">
        <is>
          <t>환수된다고 안내하면 정답</t>
        </is>
      </c>
      <c r="J34" s="10" t="n"/>
      <c r="K34" s="10" t="n"/>
      <c r="L34" s="11" t="n"/>
      <c r="M34" s="11" t="inlineStr">
        <is>
          <t>구간 A</t>
        </is>
      </c>
    </row>
    <row r="35">
      <c r="A35" s="11" t="n">
        <v>32</v>
      </c>
      <c r="B35" s="12" t="inlineStr">
        <is>
          <t>행정절차</t>
        </is>
      </c>
      <c r="C35" s="12" t="inlineStr">
        <is>
          <t>일반</t>
        </is>
      </c>
      <c r="D35" s="11" t="inlineStr">
        <is>
          <t>장학금 신청은 언제 해?</t>
        </is>
      </c>
      <c r="E35" s="11" t="inlineStr">
        <is>
          <t>When do I apply for scholarships?</t>
        </is>
      </c>
      <c r="F35" s="11" t="inlineStr">
        <is>
          <t>매 학기 정해진 신청기간에 신청 (날짜는 공지 확인)</t>
        </is>
      </c>
      <c r="G35" s="11" t="inlineStr">
        <is>
          <t>장학금 지급규칙</t>
        </is>
      </c>
      <c r="H35" s="11" t="inlineStr">
        <is>
          <t>제12조(신청기간) · https://rules.ajou.ac.kr/IRS/rule/detail/288</t>
        </is>
      </c>
      <c r="I35" s="11" t="inlineStr">
        <is>
          <t>날짜를 지어내면 오답</t>
        </is>
      </c>
      <c r="J35" s="10" t="n"/>
      <c r="K35" s="10" t="n"/>
      <c r="L35" s="11" t="n"/>
      <c r="M35" s="11" t="inlineStr">
        <is>
          <t>구간 A</t>
        </is>
      </c>
    </row>
    <row r="36">
      <c r="A36" s="11" t="n">
        <v>33</v>
      </c>
      <c r="B36" s="12" t="inlineStr">
        <is>
          <t>행정절차</t>
        </is>
      </c>
      <c r="C36" s="12" t="inlineStr">
        <is>
          <t>일반</t>
        </is>
      </c>
      <c r="D36" s="11" t="inlineStr">
        <is>
          <t>시간제등록생은 등록금을 어떻게 내?</t>
        </is>
      </c>
      <c r="E36" s="11" t="inlineStr">
        <is>
          <t>How do part-time registered students pay tuition?</t>
        </is>
      </c>
      <c r="F36" s="11" t="inlineStr">
        <is>
          <t>신청 학점당 납입금 납부</t>
        </is>
      </c>
      <c r="G36" s="11" t="inlineStr">
        <is>
          <t>아주대학교 학칙</t>
        </is>
      </c>
      <c r="H36" s="11" t="inlineStr">
        <is>
          <t>제56조(시간제등록생) ④ · https://rules.ajou.ac.kr/IRS/rule/detail/594</t>
        </is>
      </c>
      <c r="I36" s="11" t="inlineStr">
        <is>
          <t>학점당 납부면 정답</t>
        </is>
      </c>
      <c r="J36" s="10" t="n"/>
      <c r="K36" s="10" t="n"/>
      <c r="L36" s="11" t="n"/>
      <c r="M36" s="11" t="inlineStr">
        <is>
          <t>구간 A</t>
        </is>
      </c>
    </row>
    <row r="37">
      <c r="A37" s="11" t="n">
        <v>34</v>
      </c>
      <c r="B37" s="12" t="inlineStr">
        <is>
          <t>행정절차</t>
        </is>
      </c>
      <c r="C37" s="12" t="inlineStr">
        <is>
          <t>함정-무근거</t>
        </is>
      </c>
      <c r="D37" s="11" t="inlineStr">
        <is>
          <t>계절학기 수강료 얼마야?</t>
        </is>
      </c>
      <c r="E37" s="11" t="inlineStr">
        <is>
          <t>How much is the tuition for the summer or winter session?</t>
        </is>
      </c>
      <c r="F37" s="11" t="inlineStr">
        <is>
          <t>(자료에 없음. 학칙에는 '방학 중 계절수업을 개설할 수 있다'만 있음 → 안내가 정답)</t>
        </is>
      </c>
      <c r="G37" s="11" t="inlineStr">
        <is>
          <t>-</t>
        </is>
      </c>
      <c r="H37" s="11" t="inlineStr">
        <is>
          <t>(학칙 제38조③)</t>
        </is>
      </c>
      <c r="I37" s="11" t="inlineStr">
        <is>
          <t>계절학기를 열 수 있다는 안내는 괜찮음. 금액을 지어내면 오답</t>
        </is>
      </c>
      <c r="J37" s="10" t="n"/>
      <c r="K37" s="10" t="n"/>
      <c r="L37" s="11" t="n"/>
      <c r="M37" s="11" t="inlineStr">
        <is>
          <t>구간 C</t>
        </is>
      </c>
    </row>
    <row r="38">
      <c r="A38" s="11" t="n">
        <v>35</v>
      </c>
      <c r="B38" s="12" t="inlineStr">
        <is>
          <t>행정절차</t>
        </is>
      </c>
      <c r="C38" s="12" t="inlineStr">
        <is>
          <t>일반</t>
        </is>
      </c>
      <c r="D38" s="11" t="inlineStr">
        <is>
          <t>등록 기간에 등록을 안 하면 어떻게 돼?</t>
        </is>
      </c>
      <c r="E38" s="11" t="inlineStr">
        <is>
          <t>What happens if I don't register during the registration period?</t>
        </is>
      </c>
      <c r="F38" s="11" t="inlineStr">
        <is>
          <t>이유 없이 기간 안에 등록하지 않으면 제적</t>
        </is>
      </c>
      <c r="G38" s="11" t="inlineStr">
        <is>
          <t>아주대학교 학칙</t>
        </is>
      </c>
      <c r="H38" s="11" t="inlineStr">
        <is>
          <t>제35조(제적) 2호 · https://rules.ajou.ac.kr/IRS/rule/detail/594</t>
        </is>
      </c>
      <c r="I38" s="11" t="inlineStr">
        <is>
          <t>제적이면 정답</t>
        </is>
      </c>
      <c r="J38" s="10" t="n"/>
      <c r="K38" s="10" t="n"/>
      <c r="L38" s="11" t="n"/>
      <c r="M38" s="11" t="inlineStr">
        <is>
          <t>구간 A</t>
        </is>
      </c>
    </row>
    <row r="39">
      <c r="A39" s="11" t="n">
        <v>36</v>
      </c>
      <c r="B39" s="12" t="inlineStr">
        <is>
          <t>행정절차</t>
        </is>
      </c>
      <c r="C39" s="12" t="inlineStr">
        <is>
          <t>일반</t>
        </is>
      </c>
      <c r="D39" s="11" t="inlineStr">
        <is>
          <t>이번 2학기 중간시험 기간이 언제야?</t>
        </is>
      </c>
      <c r="E39" s="11" t="inlineStr">
        <is>
          <t>When is the midterm exam period this fall semester?</t>
        </is>
      </c>
      <c r="F39" s="11" t="inlineStr">
        <is>
          <t>10/20~10/26</t>
        </is>
      </c>
      <c r="G39" s="11" t="inlineStr">
        <is>
          <t>학사일정</t>
        </is>
      </c>
      <c r="H39" s="11" t="inlineStr">
        <is>
          <t>2학기 중간시험 · https://www.ajou.ac.kr/kr/ajou/notice-calendar.do</t>
        </is>
      </c>
      <c r="I39" s="11" t="inlineStr">
        <is>
          <t>날짜가 맞으면 정답</t>
        </is>
      </c>
      <c r="J39" s="10" t="n"/>
      <c r="K39" s="10" t="n"/>
      <c r="L39" s="11" t="n"/>
      <c r="M39" s="11" t="inlineStr">
        <is>
          <t>구간 A</t>
        </is>
      </c>
    </row>
    <row r="40">
      <c r="A40" s="11" t="n">
        <v>37</v>
      </c>
      <c r="B40" s="12" t="inlineStr">
        <is>
          <t>행정절차</t>
        </is>
      </c>
      <c r="C40" s="12" t="inlineStr">
        <is>
          <t>일반</t>
        </is>
      </c>
      <c r="D40" s="11" t="inlineStr">
        <is>
          <t>2학기 수강신청 포기 기간이 언제야?</t>
        </is>
      </c>
      <c r="E40" s="11" t="inlineStr">
        <is>
          <t>When is the course withdrawal period for the fall semester?</t>
        </is>
      </c>
      <c r="F40" s="11" t="inlineStr">
        <is>
          <t>9/22~9/28 (취득학점포기·수강신청포기)</t>
        </is>
      </c>
      <c r="G40" s="11" t="inlineStr">
        <is>
          <t>학사일정</t>
        </is>
      </c>
      <c r="H40" s="11" t="inlineStr">
        <is>
          <t>취득학점포기, 수강신청포기 · https://www.ajou.ac.kr/kr/ajou/notice-calendar.do</t>
        </is>
      </c>
      <c r="I40" s="11" t="inlineStr">
        <is>
          <t>날짜가 맞으면 정답</t>
        </is>
      </c>
      <c r="J40" s="10" t="n"/>
      <c r="K40" s="10" t="n"/>
      <c r="L40" s="11" t="n"/>
      <c r="M40" s="11" t="inlineStr">
        <is>
          <t>구간 A</t>
        </is>
      </c>
    </row>
    <row r="41">
      <c r="A41" s="11" t="n">
        <v>38</v>
      </c>
      <c r="B41" s="12" t="inlineStr">
        <is>
          <t>행정절차</t>
        </is>
      </c>
      <c r="C41" s="12" t="inlineStr">
        <is>
          <t>일반</t>
        </is>
      </c>
      <c r="D41" s="11" t="inlineStr">
        <is>
          <t>휴학 신청은 어디서 해?</t>
        </is>
      </c>
      <c r="E41" s="11" t="inlineStr">
        <is>
          <t>Where do I apply for a leave of absence?</t>
        </is>
      </c>
      <c r="F41" s="11" t="inlineStr">
        <is>
          <t>포탈 → 학사서비스 → 휴학신청 메뉴</t>
        </is>
      </c>
      <c r="G41" s="11" t="inlineStr">
        <is>
          <t>아주대학교 휴/복학 안내</t>
        </is>
      </c>
      <c r="H41" s="11" t="inlineStr">
        <is>
          <t>휴학 신청 절차 · https://www.ajou.ac.kr/kr/bachelor/regs-leave.do</t>
        </is>
      </c>
      <c r="I41" s="11" t="inlineStr">
        <is>
          <t>포탈 학사서비스면 정답</t>
        </is>
      </c>
      <c r="J41" s="10" t="n"/>
      <c r="K41" s="10" t="n"/>
      <c r="L41" s="11" t="n"/>
      <c r="M41" s="11" t="inlineStr">
        <is>
          <t>구간 A · 10/25 이전 DB에는 근거 없음 → RAG 전후 비교 사례</t>
        </is>
      </c>
    </row>
    <row r="42">
      <c r="A42" s="11" t="n">
        <v>39</v>
      </c>
      <c r="B42" s="12" t="inlineStr">
        <is>
          <t>행정절차</t>
        </is>
      </c>
      <c r="C42" s="12" t="inlineStr">
        <is>
          <t>일반</t>
        </is>
      </c>
      <c r="D42" s="11" t="inlineStr">
        <is>
          <t>등록금을 이미 냈는데 이번 학기 휴학은 언제까지 신청할 수 있어?</t>
        </is>
      </c>
      <c r="E42" s="11" t="inlineStr">
        <is>
          <t>I've already paid tuition. Until when can I apply for a leave of absence this semester?</t>
        </is>
      </c>
      <c r="F42" s="11" t="inlineStr">
        <is>
          <t>등록 후 휴학은 수업일수 3/4선까지</t>
        </is>
      </c>
      <c r="G42" s="11" t="inlineStr">
        <is>
          <t>아주대학교 휴/복학 안내</t>
        </is>
      </c>
      <c r="H42" s="11" t="inlineStr">
        <is>
          <t>휴학 종류 (일반휴학 신청 기간) · https://www.ajou.ac.kr/kr/bachelor/regs-leave.do</t>
        </is>
      </c>
      <c r="I42" s="11" t="inlineStr">
        <is>
          <t>3/4선이면 정답</t>
        </is>
      </c>
      <c r="J42" s="10" t="n"/>
      <c r="K42" s="10" t="n"/>
      <c r="L42" s="11" t="n"/>
      <c r="M42" s="11" t="inlineStr">
        <is>
          <t>구간 A · 10/25 이전 DB에는 근거 없음 → RAG 전후 비교 사례</t>
        </is>
      </c>
    </row>
    <row r="43">
      <c r="A43" s="11" t="n">
        <v>40</v>
      </c>
      <c r="B43" s="12" t="inlineStr">
        <is>
          <t>행정절차</t>
        </is>
      </c>
      <c r="C43" s="12" t="inlineStr">
        <is>
          <t>일반</t>
        </is>
      </c>
      <c r="D43" s="11" t="inlineStr">
        <is>
          <t>아파서 휴학하려면 어떤 서류를 내야 해?</t>
        </is>
      </c>
      <c r="E43" s="11" t="inlineStr">
        <is>
          <t>What documents do I need for a medical leave of absence?</t>
        </is>
      </c>
      <c r="F43" s="11" t="inlineStr">
        <is>
          <t>종합병원 진단서 (연속 4주 이상 치료가 필요하다는 내용)</t>
        </is>
      </c>
      <c r="G43" s="11" t="inlineStr">
        <is>
          <t>아주대학교 휴/복학 안내</t>
        </is>
      </c>
      <c r="H43" s="11" t="inlineStr">
        <is>
          <t>휴학 종류 (질병휴학 필요 서류) · https://www.ajou.ac.kr/kr/bachelor/regs-leave.do</t>
        </is>
      </c>
      <c r="I43" s="11" t="inlineStr">
        <is>
          <t>종합병원 진단서면 정답</t>
        </is>
      </c>
      <c r="J43" s="10" t="n"/>
      <c r="K43" s="10" t="n"/>
      <c r="L43" s="11" t="n"/>
      <c r="M43" s="11" t="inlineStr">
        <is>
          <t>구간 A · 10/25 이전 DB에는 근거 없음 → RAG 전후 비교 사례</t>
        </is>
      </c>
    </row>
    <row r="44">
      <c r="A44" s="11" t="n">
        <v>41</v>
      </c>
      <c r="B44" s="12" t="inlineStr">
        <is>
          <t>행정절차</t>
        </is>
      </c>
      <c r="C44" s="12" t="inlineStr">
        <is>
          <t>일반</t>
        </is>
      </c>
      <c r="D44" s="11" t="inlineStr">
        <is>
          <t>1학기에 복학하려면 언제 신청해?</t>
        </is>
      </c>
      <c r="E44" s="11" t="inlineStr">
        <is>
          <t>When do I apply to return from leave for the spring semester?</t>
        </is>
      </c>
      <c r="F44" s="11" t="inlineStr">
        <is>
          <t>1차 12월 중, 2차 1월 중 (1차에 신청해야 예비수강신청 가능)</t>
        </is>
      </c>
      <c r="G44" s="11" t="inlineStr">
        <is>
          <t>아주대학교 휴/복학 안내</t>
        </is>
      </c>
      <c r="H44" s="11" t="inlineStr">
        <is>
          <t>복학 종류 (일반복학 신청기간) · https://www.ajou.ac.kr/kr/bachelor/regs-leave.do</t>
        </is>
      </c>
      <c r="I44" s="11" t="inlineStr">
        <is>
          <t>12월(1차)·1월(2차)이면 정답</t>
        </is>
      </c>
      <c r="J44" s="10" t="n"/>
      <c r="K44" s="10" t="n"/>
      <c r="L44" s="11" t="n"/>
      <c r="M44" s="11" t="inlineStr">
        <is>
          <t>구간 A · 10/25 이전 DB에는 근거 없음 → RAG 전후 비교 사례</t>
        </is>
      </c>
    </row>
    <row r="45">
      <c r="A45" s="11" t="n">
        <v>42</v>
      </c>
      <c r="B45" s="12" t="inlineStr">
        <is>
          <t>행정절차</t>
        </is>
      </c>
      <c r="C45" s="12" t="inlineStr">
        <is>
          <t>일반</t>
        </is>
      </c>
      <c r="D45" s="11" t="inlineStr">
        <is>
          <t>휴학하면 낸 등록금 돌려받을 수 있어?</t>
        </is>
      </c>
      <c r="E45" s="11" t="inlineStr">
        <is>
          <t>Can I get my tuition refunded if I take a leave of absence?</t>
        </is>
      </c>
      <c r="F45" s="11" t="inlineStr">
        <is>
          <t>학기 시작일까지 전액, 30일 전 5/6, 60일 전 2/3, 90일 전 1/2, 그 뒤엔 반환 없음 (장학금 제외 실납부액)</t>
        </is>
      </c>
      <c r="G45" s="11" t="inlineStr">
        <is>
          <t>아주대학교 휴/복학 안내</t>
        </is>
      </c>
      <c r="H45" s="11" t="inlineStr">
        <is>
          <t>등록금 환불 · https://www.ajou.ac.kr/kr/bachelor/regs-leave.do</t>
        </is>
      </c>
      <c r="I45" s="11" t="inlineStr">
        <is>
          <t>시점에 따라 다르다는 점과 시작 전 전액 반환을 말하면 정답</t>
        </is>
      </c>
      <c r="J45" s="10" t="n"/>
      <c r="K45" s="10" t="n"/>
      <c r="L45" s="11" t="n"/>
      <c r="M45" s="11" t="inlineStr">
        <is>
          <t>구간 A · 10/25 이전 DB에는 근거 없음 → RAG 전후 비교 사례</t>
        </is>
      </c>
    </row>
    <row r="46">
      <c r="A46" s="11" t="n">
        <v>43</v>
      </c>
      <c r="B46" s="12" t="inlineStr">
        <is>
          <t>행정절차</t>
        </is>
      </c>
      <c r="C46" s="12" t="inlineStr">
        <is>
          <t>일반</t>
        </is>
      </c>
      <c r="D46" s="11" t="inlineStr">
        <is>
          <t>자퇴하려면 어떻게 해?</t>
        </is>
      </c>
      <c r="E46" s="11" t="inlineStr">
        <is>
          <t>How do I withdraw from the university?</t>
        </is>
      </c>
      <c r="F46" s="11" t="inlineStr">
        <is>
          <t>학부: 보증인 연서와 학과장(전공주임교수) 확인을 받아 자퇴원서 제출 → 총장 허가. 대학원: 지도교수·학과장 확인</t>
        </is>
      </c>
      <c r="G46" s="11" t="inlineStr">
        <is>
          <t>아주대학교 학칙</t>
        </is>
      </c>
      <c r="H46" s="11" t="inlineStr">
        <is>
          <t>제34조(자퇴) · https://rules.ajou.ac.kr/IRS/rule/detail/594</t>
        </is>
      </c>
      <c r="I46" s="11" t="inlineStr">
        <is>
          <t>학부 절차(보증인 연서·학과장 확인 → 자퇴원서 → 총장 허가)나 학사서비스 자퇴신청 메뉴를 맞게 안내하면 정답</t>
        </is>
      </c>
      <c r="J46" s="10" t="n"/>
      <c r="K46" s="10" t="n"/>
      <c r="L46" s="11" t="n"/>
      <c r="M46" s="11" t="inlineStr">
        <is>
          <t>구간 B</t>
        </is>
      </c>
    </row>
    <row r="47">
      <c r="A47" s="11" t="n">
        <v>44</v>
      </c>
      <c r="B47" s="12" t="inlineStr">
        <is>
          <t>행정절차</t>
        </is>
      </c>
      <c r="C47" s="12" t="inlineStr">
        <is>
          <t>일반</t>
        </is>
      </c>
      <c r="D47" s="11" t="inlineStr">
        <is>
          <t>자퇴했는데 다시 들어올 수 있어?</t>
        </is>
      </c>
      <c r="E47" s="11" t="inlineStr">
        <is>
          <t>I withdrew from school. Can I be readmitted?</t>
        </is>
      </c>
      <c r="F47" s="11" t="inlineStr">
        <is>
          <t>학부: 정원 범위에서 재입학 가능 (퇴학 징계자·1학기 미이수자는 불가). 대학원: 제적자가 같은 과정·학과로 1회만</t>
        </is>
      </c>
      <c r="G47" s="11" t="inlineStr">
        <is>
          <t>아주대학교 학칙</t>
        </is>
      </c>
      <c r="H47" s="11" t="inlineStr">
        <is>
          <t>제25조(재입학) · https://rules.ajou.ac.kr/IRS/rule/detail/594</t>
        </is>
      </c>
      <c r="I47" s="11" t="inlineStr">
        <is>
          <t>재입학 가능과 제외 조건을 말하면 정답</t>
        </is>
      </c>
      <c r="J47" s="10" t="n"/>
      <c r="K47" s="10" t="n"/>
      <c r="L47" s="11" t="n"/>
      <c r="M47" s="11" t="inlineStr">
        <is>
          <t>구간 B</t>
        </is>
      </c>
    </row>
    <row r="48">
      <c r="A48" s="11" t="n">
        <v>45</v>
      </c>
      <c r="B48" s="12" t="inlineStr">
        <is>
          <t>행정절차</t>
        </is>
      </c>
      <c r="C48" s="12" t="inlineStr">
        <is>
          <t>일반</t>
        </is>
      </c>
      <c r="D48" s="11" t="inlineStr">
        <is>
          <t>편입하면 몇 학년으로 들어가?</t>
        </is>
      </c>
      <c r="E48" s="11" t="inlineStr">
        <is>
          <t>What year do transfer students enter?</t>
        </is>
      </c>
      <c r="F48" s="11" t="inlineStr">
        <is>
          <t>학부는 3학년 (재외국민·외국인은 2·3학년, 소프트웨어학과 글로벌IT전공은 4학년)</t>
        </is>
      </c>
      <c r="G48" s="11" t="inlineStr">
        <is>
          <t>아주대학교 학칙</t>
        </is>
      </c>
      <c r="H48" s="11" t="inlineStr">
        <is>
          <t>제24조(편입학) ② · https://rules.ajou.ac.kr/IRS/rule/detail/594</t>
        </is>
      </c>
      <c r="I48" s="11" t="inlineStr">
        <is>
          <t>3학년이면 정답 (예외까지 말하면 더 좋음)</t>
        </is>
      </c>
      <c r="J48" s="10" t="n"/>
      <c r="K48" s="10" t="n"/>
      <c r="L48" s="11" t="n"/>
      <c r="M48" s="11" t="inlineStr">
        <is>
          <t>구간 B</t>
        </is>
      </c>
    </row>
    <row r="49">
      <c r="A49" s="11" t="n">
        <v>46</v>
      </c>
      <c r="B49" s="12" t="inlineStr">
        <is>
          <t>행정절차</t>
        </is>
      </c>
      <c r="C49" s="12" t="inlineStr">
        <is>
          <t>일반</t>
        </is>
      </c>
      <c r="D49" s="11" t="inlineStr">
        <is>
          <t>졸업증명서 어디서 발급받아?</t>
        </is>
      </c>
      <c r="E49" s="11" t="inlineStr">
        <is>
          <t>Where can I get a graduation certificate?</t>
        </is>
      </c>
      <c r="F49" s="11" t="inlineStr">
        <is>
          <t>포털(AIMS2) → 주요서비스 → 증명서발급에서 인터넷 즉시 발급(24시간), 또는 종합지원센터(신학생회관 116호) 앞 무인증명발급기</t>
        </is>
      </c>
      <c r="G49" s="11" t="inlineStr">
        <is>
          <t>아주대학교 증명서 발급 안내</t>
        </is>
      </c>
      <c r="H49" s="11" t="inlineStr">
        <is>
          <t>인터넷증명서 즉시 발급, 무인증명서 발급기 · https://www.ajou.ac.kr/kr/life/paper01.do</t>
        </is>
      </c>
      <c r="I49" s="11" t="inlineStr">
        <is>
          <t>인터넷 발급이나 무인발급기 중 하나 이상 맞게 안내하면 정답</t>
        </is>
      </c>
      <c r="J49" s="10" t="n"/>
      <c r="K49" s="10" t="n"/>
      <c r="L49" s="11" t="n"/>
      <c r="M49" s="11" t="inlineStr">
        <is>
          <t>구간 A · 10/27 재점검: 증명서 발급 안내 페이지 추가로 근거 생김 (함정 → A)</t>
        </is>
      </c>
    </row>
    <row r="50">
      <c r="A50" s="11" t="n">
        <v>47</v>
      </c>
      <c r="B50" s="12" t="inlineStr">
        <is>
          <t>행정절차</t>
        </is>
      </c>
      <c r="C50" s="12" t="inlineStr">
        <is>
          <t>함정-무근거</t>
        </is>
      </c>
      <c r="D50" s="11" t="inlineStr">
        <is>
          <t>학생증 잃어버렸는데 재발급 어떻게 해?</t>
        </is>
      </c>
      <c r="E50" s="11" t="inlineStr">
        <is>
          <t>I lost my student ID card. How do I get a new one?</t>
        </is>
      </c>
      <c r="F50" s="11" t="inlineStr">
        <is>
          <t>(자료에 없음 → 안내가 정답)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절차·비용을 지어내면 오답</t>
        </is>
      </c>
      <c r="J50" s="10" t="n"/>
      <c r="K50" s="10" t="n"/>
      <c r="L50" s="11" t="n"/>
      <c r="M50" s="11" t="inlineStr">
        <is>
          <t>구간 C</t>
        </is>
      </c>
    </row>
    <row r="51">
      <c r="A51" s="11" t="n">
        <v>48</v>
      </c>
      <c r="B51" s="12" t="inlineStr">
        <is>
          <t>행정절차</t>
        </is>
      </c>
      <c r="C51" s="12" t="inlineStr">
        <is>
          <t>일반</t>
        </is>
      </c>
      <c r="D51" s="11" t="inlineStr">
        <is>
          <t>이번 학기 수강신청 정정 기간 언제야?</t>
        </is>
      </c>
      <c r="E51" s="11" t="inlineStr">
        <is>
          <t>When is the course add/drop period this semester?</t>
        </is>
      </c>
      <c r="F51" s="11" t="inlineStr">
        <is>
          <t>2학기 수강 정정은 9월 초 (정확한 날짜는 매 학기 공지)</t>
        </is>
      </c>
      <c r="G51" s="11" t="inlineStr">
        <is>
          <t>아주대학교 수강신청 안내</t>
        </is>
      </c>
      <c r="H51" s="11" t="inlineStr">
        <is>
          <t>수강신청 일정 · https://www.ajou.ac.kr/kr/bachelor/enrolment.do</t>
        </is>
      </c>
      <c r="I51" s="11" t="inlineStr">
        <is>
          <t>9월 초를 말하면 정답. 구체 날짜를 지어내면 오답</t>
        </is>
      </c>
      <c r="J51" s="10" t="n"/>
      <c r="K51" s="10" t="n"/>
      <c r="L51" s="11" t="n"/>
      <c r="M51" s="11" t="inlineStr">
        <is>
          <t>구간 A · 10/27 재점검: 수강신청 안내 페이지 추가로 근거 생김 (함정 → A)</t>
        </is>
      </c>
    </row>
    <row r="52">
      <c r="A52" s="11" t="n">
        <v>49</v>
      </c>
      <c r="B52" s="12" t="inlineStr">
        <is>
          <t>행정절차</t>
        </is>
      </c>
      <c r="C52" s="12" t="inlineStr">
        <is>
          <t>함정-무근거</t>
        </is>
      </c>
      <c r="D52" s="11" t="inlineStr">
        <is>
          <t>소프트웨어학과 한 학기 등록금 얼마야?</t>
        </is>
      </c>
      <c r="E52" s="11" t="inlineStr">
        <is>
          <t>How much is one semester's tuition for the Department of Software?</t>
        </is>
      </c>
      <c r="F52" s="11" t="inlineStr">
        <is>
          <t>(자료에 없음 → 안내가 정답)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금액을 지어내거나 유학생 학비(₩4,916,000)를 국내생 등록금처럼 말하면 오답. 포털 고지서 확인이나 재무회계팀 안내면 정답</t>
        </is>
      </c>
      <c r="J52" s="10" t="n"/>
      <c r="K52" s="10" t="n"/>
      <c r="L52" s="11" t="n"/>
      <c r="M52" s="11" t="inlineStr">
        <is>
          <t>구간 C · 스모크 C6 시드</t>
        </is>
      </c>
    </row>
    <row r="53">
      <c r="A53" s="11" t="n">
        <v>50</v>
      </c>
      <c r="B53" s="12" t="inlineStr">
        <is>
          <t>행정절차</t>
        </is>
      </c>
      <c r="C53" s="12" t="inlineStr">
        <is>
          <t>일반</t>
        </is>
      </c>
      <c r="D53" s="11" t="inlineStr">
        <is>
          <t>휴학 신청 좀 대신 해줘</t>
        </is>
      </c>
      <c r="E53" s="11" t="inlineStr">
        <is>
          <t>Please apply for a leave of absence for me.</t>
        </is>
      </c>
      <c r="F53" s="11" t="inlineStr">
        <is>
          <t>대행 불가 → 포탈에서 직접 신청 안내</t>
        </is>
      </c>
      <c r="G53" s="11" t="inlineStr">
        <is>
          <t>-</t>
        </is>
      </c>
      <c r="H53" s="11" t="inlineStr">
        <is>
          <t>-</t>
        </is>
      </c>
      <c r="I53" s="11" t="inlineStr">
        <is>
          <t>대행을 거절하고 포탈로 안내하면 정답</t>
        </is>
      </c>
      <c r="J53" s="10" t="n"/>
      <c r="K53" s="10" t="n"/>
      <c r="L53" s="11" t="n"/>
      <c r="M53" s="11" t="inlineStr">
        <is>
          <t>구간 D · 스모크 D2 시드</t>
        </is>
      </c>
    </row>
    <row r="54">
      <c r="A54" s="11" t="n">
        <v>51</v>
      </c>
      <c r="B54" s="12" t="inlineStr">
        <is>
          <t>외국인학생행정</t>
        </is>
      </c>
      <c r="C54" s="12" t="inlineStr">
        <is>
          <t>일반</t>
        </is>
      </c>
      <c r="D54" s="11" t="inlineStr">
        <is>
          <t>학부 외국인 학생은 어느 부서에 문의해야 해?</t>
        </is>
      </c>
      <c r="E54" s="11" t="inlineStr">
        <is>
          <t>Which office should international undergraduate students contact?</t>
        </is>
      </c>
      <c r="F54" s="11" t="inlineStr">
        <is>
          <t>국제협력처 유학생입학팀</t>
        </is>
      </c>
      <c r="G54" s="11" t="inlineStr">
        <is>
          <t>외국인학생 지원 및 관리에 관한 규칙</t>
        </is>
      </c>
      <c r="H54" s="11" t="inlineStr">
        <is>
          <t>제3조(주관부서) ① 1호 · https://rules.ajou.ac.kr/IRS/rule/detail/293</t>
        </is>
      </c>
      <c r="I54" s="11" t="inlineStr">
        <is>
          <t>유학생입학팀이면 정답</t>
        </is>
      </c>
      <c r="J54" s="10" t="n"/>
      <c r="K54" s="10" t="n"/>
      <c r="L54" s="11" t="n"/>
      <c r="M54" s="11" t="inlineStr">
        <is>
          <t>구간 A</t>
        </is>
      </c>
    </row>
    <row r="55">
      <c r="A55" s="11" t="n">
        <v>52</v>
      </c>
      <c r="B55" s="12" t="inlineStr">
        <is>
          <t>외국인학생행정</t>
        </is>
      </c>
      <c r="C55" s="12" t="inlineStr">
        <is>
          <t>일반</t>
        </is>
      </c>
      <c r="D55" s="11" t="inlineStr">
        <is>
          <t>교환학생 담당 부서는 어디야?</t>
        </is>
      </c>
      <c r="E55" s="11" t="inlineStr">
        <is>
          <t>Which office is in charge of exchange students?</t>
        </is>
      </c>
      <c r="F55" s="11" t="inlineStr">
        <is>
          <t>국제협력처 국제교류팀</t>
        </is>
      </c>
      <c r="G55" s="11" t="inlineStr">
        <is>
          <t>외국인학생 지원 및 관리에 관한 규칙</t>
        </is>
      </c>
      <c r="H55" s="11" t="inlineStr">
        <is>
          <t>제3조(주관부서) ① 3호 · https://rules.ajou.ac.kr/IRS/rule/detail/293</t>
        </is>
      </c>
      <c r="I55" s="11" t="inlineStr">
        <is>
          <t>국제교류팀이면 정답</t>
        </is>
      </c>
      <c r="J55" s="10" t="n"/>
      <c r="K55" s="10" t="n"/>
      <c r="L55" s="11" t="n"/>
      <c r="M55" s="11" t="inlineStr">
        <is>
          <t>구간 A</t>
        </is>
      </c>
    </row>
    <row r="56">
      <c r="A56" s="11" t="n">
        <v>53</v>
      </c>
      <c r="B56" s="12" t="inlineStr">
        <is>
          <t>외국인학생행정</t>
        </is>
      </c>
      <c r="C56" s="12" t="inlineStr">
        <is>
          <t>일반</t>
        </is>
      </c>
      <c r="D56" s="11" t="inlineStr">
        <is>
          <t>어학연수생은 어디서 관리해?</t>
        </is>
      </c>
      <c r="E56" s="11" t="inlineStr">
        <is>
          <t>Which office manages language program students?</t>
        </is>
      </c>
      <c r="F56" s="11" t="inlineStr">
        <is>
          <t>국제교육센터</t>
        </is>
      </c>
      <c r="G56" s="11" t="inlineStr">
        <is>
          <t>외국인학생 지원 및 관리에 관한 규칙</t>
        </is>
      </c>
      <c r="H56" s="11" t="inlineStr">
        <is>
          <t>제3조(주관부서) ① 4호, 제4조(학사관리) ① 3호 · https://rules.ajou.ac.kr/IRS/rule/detail/293</t>
        </is>
      </c>
      <c r="I56" s="11" t="inlineStr">
        <is>
          <t>국제교육센터면 정답</t>
        </is>
      </c>
      <c r="J56" s="10" t="n"/>
      <c r="K56" s="10" t="n"/>
      <c r="L56" s="11" t="n"/>
      <c r="M56" s="11" t="inlineStr">
        <is>
          <t>구간 A</t>
        </is>
      </c>
    </row>
    <row r="57">
      <c r="A57" s="11" t="n">
        <v>54</v>
      </c>
      <c r="B57" s="12" t="inlineStr">
        <is>
          <t>외국인학생행정</t>
        </is>
      </c>
      <c r="C57" s="12" t="inlineStr">
        <is>
          <t>함정-무근거</t>
        </is>
      </c>
      <c r="D57" s="11" t="inlineStr">
        <is>
          <t>외국인 학생 입국할 때 공항 픽업 서비스 있어?</t>
        </is>
      </c>
      <c r="E57" s="11" t="inlineStr">
        <is>
          <t>Is there an airport pickup service for international students when they arrive?</t>
        </is>
      </c>
      <c r="F57" s="11" t="inlineStr">
        <is>
          <t>(자료에 없음 → 국제협력처 유학생입학팀 안내가 정답)</t>
        </is>
      </c>
      <c r="G57" s="11" t="inlineStr">
        <is>
          <t>-</t>
        </is>
      </c>
      <c r="H57" s="11" t="inlineStr">
        <is>
          <t>-</t>
        </is>
      </c>
      <c r="I57" s="11" t="inlineStr">
        <is>
          <t>있다/없다를 지어내면 오답. 유학생입학팀 문의 안내면 정답</t>
        </is>
      </c>
      <c r="J57" s="10" t="n"/>
      <c r="K57" s="10" t="n"/>
      <c r="L57" s="11" t="n"/>
      <c r="M57" s="11" t="inlineStr">
        <is>
          <t>구간 C · 10/27 재점검: 기존 '교류학생이 뭐야?'(용어 정의)를 새 함정으로 교체</t>
        </is>
      </c>
    </row>
    <row r="58">
      <c r="A58" s="11" t="n">
        <v>55</v>
      </c>
      <c r="B58" s="12" t="inlineStr">
        <is>
          <t>외국인학생행정</t>
        </is>
      </c>
      <c r="C58" s="12" t="inlineStr">
        <is>
          <t>일반</t>
        </is>
      </c>
      <c r="D58" s="11" t="inlineStr">
        <is>
          <t>외국인 학생도 건강보험 꼭 들어야 해?</t>
        </is>
      </c>
      <c r="E58" s="11" t="inlineStr">
        <is>
          <t>Do international students have to get health insurance?</t>
        </is>
      </c>
      <c r="F58" s="11" t="inlineStr">
        <is>
          <t>재학 기간 내내 국민건강보험이나 그에 상응하는 보험 가입 필수, 가입 증빙 제출</t>
        </is>
      </c>
      <c r="G58" s="11" t="inlineStr">
        <is>
          <t>외국인학생 지원 및 관리에 관한 규칙</t>
        </is>
      </c>
      <c r="H58" s="11" t="inlineStr">
        <is>
          <t>제6조(보험가입) ①③ · https://rules.ajou.ac.kr/IRS/rule/detail/293</t>
        </is>
      </c>
      <c r="I58" s="11" t="inlineStr">
        <is>
          <t>필수 가입이면 정답</t>
        </is>
      </c>
      <c r="J58" s="10" t="n"/>
      <c r="K58" s="10" t="n"/>
      <c r="L58" s="11" t="n"/>
      <c r="M58" s="11" t="inlineStr">
        <is>
          <t>구간 A</t>
        </is>
      </c>
    </row>
    <row r="59">
      <c r="A59" s="11" t="n">
        <v>56</v>
      </c>
      <c r="B59" s="12" t="inlineStr">
        <is>
          <t>외국인학생행정</t>
        </is>
      </c>
      <c r="C59" s="12" t="inlineStr">
        <is>
          <t>일반</t>
        </is>
      </c>
      <c r="D59" s="11" t="inlineStr">
        <is>
          <t>유학생 기숙사는 어떻게 신청해?</t>
        </is>
      </c>
      <c r="E59" s="11" t="inlineStr">
        <is>
          <t>How do international students apply for the dormitory?</t>
        </is>
      </c>
      <c r="F59" s="11" t="inlineStr">
        <is>
          <t>생활관이 안내하는 정해진 기간에 이용 신청</t>
        </is>
      </c>
      <c r="G59" s="11" t="inlineStr">
        <is>
          <t>외국인학생 지원 및 관리에 관한 규칙</t>
        </is>
      </c>
      <c r="H59" s="11" t="inlineStr">
        <is>
          <t>제7조(기숙사) ① · https://rules.ajou.ac.kr/IRS/rule/detail/293</t>
        </is>
      </c>
      <c r="I59" s="11" t="inlineStr">
        <is>
          <t>생활관에 기간 내 신청이면 정답. 기간·비용을 지어내면 오답</t>
        </is>
      </c>
      <c r="J59" s="10" t="n"/>
      <c r="K59" s="10" t="n"/>
      <c r="L59" s="11" t="n"/>
      <c r="M59" s="11" t="inlineStr">
        <is>
          <t>구간 A</t>
        </is>
      </c>
    </row>
    <row r="60">
      <c r="A60" s="11" t="n">
        <v>57</v>
      </c>
      <c r="B60" s="12" t="inlineStr">
        <is>
          <t>외국인학생행정</t>
        </is>
      </c>
      <c r="C60" s="12" t="inlineStr">
        <is>
          <t>일반</t>
        </is>
      </c>
      <c r="D60" s="11" t="inlineStr">
        <is>
          <t>외국인 학생도 학칙이 똑같이 적용돼?</t>
        </is>
      </c>
      <c r="E60" s="11" t="inlineStr">
        <is>
          <t>Do the university regulations apply to international students the same way?</t>
        </is>
      </c>
      <c r="F60" s="11" t="inlineStr">
        <is>
          <t>예, 학사관리는 학칙과 내규를 따름</t>
        </is>
      </c>
      <c r="G60" s="11" t="inlineStr">
        <is>
          <t>외국인학생 지원 및 관리에 관한 규칙</t>
        </is>
      </c>
      <c r="H60" s="11" t="inlineStr">
        <is>
          <t>제4조(학사관리) ② · https://rules.ajou.ac.kr/IRS/rule/detail/293</t>
        </is>
      </c>
      <c r="I60" s="11" t="inlineStr">
        <is>
          <t>"적용됨"이면 정답</t>
        </is>
      </c>
      <c r="J60" s="10" t="n"/>
      <c r="K60" s="10" t="n"/>
      <c r="L60" s="11" t="n"/>
      <c r="M60" s="11" t="inlineStr">
        <is>
          <t>구간 A</t>
        </is>
      </c>
    </row>
    <row r="61">
      <c r="A61" s="11" t="n">
        <v>58</v>
      </c>
      <c r="B61" s="12" t="inlineStr">
        <is>
          <t>외국인학생행정</t>
        </is>
      </c>
      <c r="C61" s="12" t="inlineStr">
        <is>
          <t>일반</t>
        </is>
      </c>
      <c r="D61" s="11" t="inlineStr">
        <is>
          <t>외국인 학생 전담 지도교수가 있어?</t>
        </is>
      </c>
      <c r="E61" s="11" t="inlineStr">
        <is>
          <t>Do international students have a dedicated academic advisor?</t>
        </is>
      </c>
      <c r="F61" s="11" t="inlineStr">
        <is>
          <t>예, 학사관리 담당부서가 전담 지도교수와 직원을 지정</t>
        </is>
      </c>
      <c r="G61" s="11" t="inlineStr">
        <is>
          <t>외국인학생 지원 및 관리에 관한 규칙</t>
        </is>
      </c>
      <c r="H61" s="11" t="inlineStr">
        <is>
          <t>제4조(학사관리) ③ · https://rules.ajou.ac.kr/IRS/rule/detail/293</t>
        </is>
      </c>
      <c r="I61" s="11" t="inlineStr">
        <is>
          <t>"있음"이면 정답</t>
        </is>
      </c>
      <c r="J61" s="10" t="n"/>
      <c r="K61" s="10" t="n"/>
      <c r="L61" s="11" t="n"/>
      <c r="M61" s="11" t="inlineStr">
        <is>
          <t>구간 A</t>
        </is>
      </c>
    </row>
    <row r="62">
      <c r="A62" s="11" t="n">
        <v>59</v>
      </c>
      <c r="B62" s="12" t="inlineStr">
        <is>
          <t>외국인학생행정</t>
        </is>
      </c>
      <c r="C62" s="12" t="inlineStr">
        <is>
          <t>일반</t>
        </is>
      </c>
      <c r="D62" s="11" t="inlineStr">
        <is>
          <t>한국 생활 적응이 힘든데 상담받을 곳 있어?</t>
        </is>
      </c>
      <c r="E62" s="11" t="inlineStr">
        <is>
          <t>I'm having a hard time adjusting to life in Korea. Where can I get counseling?</t>
        </is>
      </c>
      <c r="F62" s="11" t="inlineStr">
        <is>
          <t>소속 주관·담당 부서 상담, 필요하면 국제협력처 유학생상담지원 전문 인력</t>
        </is>
      </c>
      <c r="G62" s="11" t="inlineStr">
        <is>
          <t>외국인학생 지원 및 관리에 관한 규칙</t>
        </is>
      </c>
      <c r="H62" s="11" t="inlineStr">
        <is>
          <t>제8조(학생상담 및 지원) ① · https://rules.ajou.ac.kr/IRS/rule/detail/293</t>
        </is>
      </c>
      <c r="I62" s="11" t="inlineStr">
        <is>
          <t>부서 상담이나 국제협력처 상담 인력을 안내하면 정답</t>
        </is>
      </c>
      <c r="J62" s="10" t="n"/>
      <c r="K62" s="10" t="n"/>
      <c r="L62" s="11" t="n"/>
      <c r="M62" s="11" t="inlineStr">
        <is>
          <t>구간 A</t>
        </is>
      </c>
    </row>
    <row r="63">
      <c r="A63" s="11" t="n">
        <v>60</v>
      </c>
      <c r="B63" s="12" t="inlineStr">
        <is>
          <t>외국인학생행정</t>
        </is>
      </c>
      <c r="C63" s="12" t="inlineStr">
        <is>
          <t>일반</t>
        </is>
      </c>
      <c r="D63" s="11" t="inlineStr">
        <is>
          <t>유학생 졸업 후 취업은 어디서 도와줘?</t>
        </is>
      </c>
      <c r="E63" s="11" t="inlineStr">
        <is>
          <t>Who helps international students find jobs after graduation?</t>
        </is>
      </c>
      <c r="F63" s="11" t="inlineStr">
        <is>
          <t>주관·담당 부서와 대학일자리플러스센터가 체류관리·취업정보 지원</t>
        </is>
      </c>
      <c r="G63" s="11" t="inlineStr">
        <is>
          <t>외국인학생 지원 및 관리에 관한 규칙</t>
        </is>
      </c>
      <c r="H63" s="11" t="inlineStr">
        <is>
          <t>제8조(학생상담 및 지원) ② · https://rules.ajou.ac.kr/IRS/rule/detail/293</t>
        </is>
      </c>
      <c r="I63" s="11" t="inlineStr">
        <is>
          <t>대학일자리플러스센터나 유학생입학팀 취업특강을 안내하면 정답</t>
        </is>
      </c>
      <c r="J63" s="10" t="n"/>
      <c r="K63" s="10" t="n"/>
      <c r="L63" s="11" t="n"/>
      <c r="M63" s="11" t="inlineStr">
        <is>
          <t>구간 A</t>
        </is>
      </c>
    </row>
    <row r="64">
      <c r="A64" s="11" t="n">
        <v>61</v>
      </c>
      <c r="B64" s="12" t="inlineStr">
        <is>
          <t>외국인학생행정</t>
        </is>
      </c>
      <c r="C64" s="12" t="inlineStr">
        <is>
          <t>일반</t>
        </is>
      </c>
      <c r="D64" s="11" t="inlineStr">
        <is>
          <t>유학생 출입국 업무는 누가 담당해?</t>
        </is>
      </c>
      <c r="E64" s="11" t="inlineStr">
        <is>
          <t>Who handles immigration matters for international students?</t>
        </is>
      </c>
      <c r="F64" s="11" t="inlineStr">
        <is>
          <t>국제협력처 유학생입학팀이 총괄 (학부는 교무팀·유학생입학팀 담당자)</t>
        </is>
      </c>
      <c r="G64" s="11" t="inlineStr">
        <is>
          <t>외국인학생 지원 및 관리에 관한 규칙</t>
        </is>
      </c>
      <c r="H64" s="11" t="inlineStr">
        <is>
          <t>제5조(출입국 관리부서 및 담당자) ① · https://rules.ajou.ac.kr/IRS/rule/detail/293</t>
        </is>
      </c>
      <c r="I64" s="11" t="inlineStr">
        <is>
          <t>유학생입학팀이면 정답</t>
        </is>
      </c>
      <c r="J64" s="10" t="n"/>
      <c r="K64" s="10" t="n"/>
      <c r="L64" s="11" t="n"/>
      <c r="M64" s="11" t="inlineStr">
        <is>
          <t>구간 A</t>
        </is>
      </c>
    </row>
    <row r="65">
      <c r="A65" s="11" t="n">
        <v>62</v>
      </c>
      <c r="B65" s="12" t="inlineStr">
        <is>
          <t>외국인학생행정</t>
        </is>
      </c>
      <c r="C65" s="12" t="inlineStr">
        <is>
          <t>일반</t>
        </is>
      </c>
      <c r="D65" s="11" t="inlineStr">
        <is>
          <t>외국인 학생도 전공진입 제한이 있어?</t>
        </is>
      </c>
      <c r="E65" s="11" t="inlineStr">
        <is>
          <t>Are there major entry requirements for international students?</t>
        </is>
      </c>
      <c r="F65" s="11" t="inlineStr">
        <is>
          <t>4학기 수료 후 5학기(3학년)로 올라갈 때 요건을 못 채우면 전공과목 수강 제한 가능</t>
        </is>
      </c>
      <c r="G65" s="11" t="inlineStr">
        <is>
          <t>아주대학교 학칙</t>
        </is>
      </c>
      <c r="H65" s="11" t="inlineStr">
        <is>
          <t>제44조의2(전공진입) ① · https://rules.ajou.ac.kr/IRS/rule/detail/594</t>
        </is>
      </c>
      <c r="I65" s="11" t="inlineStr">
        <is>
          <t>"4학기 후(3학년 진급)"면 정답. 내국인 기준(2학기 후)을 말하면 오답</t>
        </is>
      </c>
      <c r="J65" s="10" t="n"/>
      <c r="K65" s="10" t="n"/>
      <c r="L65" s="11" t="n"/>
      <c r="M65" s="11" t="inlineStr">
        <is>
          <t>구간 A</t>
        </is>
      </c>
    </row>
    <row r="66">
      <c r="A66" s="11" t="n">
        <v>63</v>
      </c>
      <c r="B66" s="12" t="inlineStr">
        <is>
          <t>외국인학생행정</t>
        </is>
      </c>
      <c r="C66" s="12" t="inlineStr">
        <is>
          <t>일반</t>
        </is>
      </c>
      <c r="D66" s="11" t="inlineStr">
        <is>
          <t>외국인 유학생 장학금은 누가 받을 수 있어?</t>
        </is>
      </c>
      <c r="E66" s="11" t="inlineStr">
        <is>
          <t>Who is eligible for the international student scholarship?</t>
        </is>
      </c>
      <c r="F66" s="11" t="inlineStr">
        <is>
          <t>학부 순수외국인전형으로 입학한 학생</t>
        </is>
      </c>
      <c r="G66" s="11" t="inlineStr">
        <is>
          <t>장학금 지급규칙</t>
        </is>
      </c>
      <c r="H66" s="11" t="inlineStr">
        <is>
          <t>제3조(장학금의 구분 및 선발대상) ② 13호 · https://rules.ajou.ac.kr/IRS/rule/detail/288</t>
        </is>
      </c>
      <c r="I66" s="11" t="inlineStr">
        <is>
          <t>순수외국인전형이면 정답</t>
        </is>
      </c>
      <c r="J66" s="10" t="n"/>
      <c r="K66" s="10" t="n"/>
      <c r="L66" s="11" t="n"/>
      <c r="M66" s="11" t="inlineStr">
        <is>
          <t>구간 A</t>
        </is>
      </c>
    </row>
    <row r="67">
      <c r="A67" s="11" t="n">
        <v>64</v>
      </c>
      <c r="B67" s="12" t="inlineStr">
        <is>
          <t>외국인학생행정</t>
        </is>
      </c>
      <c r="C67" s="12" t="inlineStr">
        <is>
          <t>일반</t>
        </is>
      </c>
      <c r="D67" s="11" t="inlineStr">
        <is>
          <t>입학우수장학 성적 기준(3.80)이 외국인 유학생한테도 적용돼?</t>
        </is>
      </c>
      <c r="E67" s="11" t="inlineStr">
        <is>
          <t>Does the 3.80 GPA requirement for the admission merit scholarship apply to international students?</t>
        </is>
      </c>
      <c r="F67" s="11" t="inlineStr">
        <is>
          <t>아니요, 외국인 유학생은 그 기준에서 제외</t>
        </is>
      </c>
      <c r="G67" s="11" t="inlineStr">
        <is>
          <t>장학금 지급규칙</t>
        </is>
      </c>
      <c r="H67" s="11" t="inlineStr">
        <is>
          <t>제8조(교내장학생 선발기준) ① · https://rules.ajou.ac.kr/IRS/rule/detail/288</t>
        </is>
      </c>
      <c r="I67" s="11" t="inlineStr">
        <is>
          <t>"제외"면 정답</t>
        </is>
      </c>
      <c r="J67" s="10" t="n"/>
      <c r="K67" s="10" t="n"/>
      <c r="L67" s="11" t="n"/>
      <c r="M67" s="11" t="inlineStr">
        <is>
          <t>구간 A</t>
        </is>
      </c>
    </row>
    <row r="68">
      <c r="A68" s="11" t="n">
        <v>65</v>
      </c>
      <c r="B68" s="12" t="inlineStr">
        <is>
          <t>외국인학생행정</t>
        </is>
      </c>
      <c r="C68" s="12" t="inlineStr">
        <is>
          <t>일반</t>
        </is>
      </c>
      <c r="D68" s="11" t="inlineStr">
        <is>
          <t>외국인 특별장학생이 성적 기준을 못 넘으면 장학금 끊겨?</t>
        </is>
      </c>
      <c r="E68" s="11" t="inlineStr">
        <is>
          <t>If an international special scholarship student falls below the grade requirement, do they lose the scholarship?</t>
        </is>
      </c>
      <c r="F68" s="11" t="inlineStr">
        <is>
          <t>자격을 잃지만 다음 학기 성적이 기준을 넘으면 회복, 외국인 특별장학생은 회복 횟수 제한 없음</t>
        </is>
      </c>
      <c r="G68" s="11" t="inlineStr">
        <is>
          <t>장학금 지급규칙</t>
        </is>
      </c>
      <c r="H68" s="11" t="inlineStr">
        <is>
          <t>제15조(계속장학생 관리) ② · https://rules.ajou.ac.kr/IRS/rule/detail/288</t>
        </is>
      </c>
      <c r="I68" s="11" t="inlineStr">
        <is>
          <t>"회복 가능, 횟수 제한 없음"이면 정답</t>
        </is>
      </c>
      <c r="J68" s="10" t="n"/>
      <c r="K68" s="10" t="n"/>
      <c r="L68" s="11" t="n"/>
      <c r="M68" s="11" t="inlineStr">
        <is>
          <t>구간 A</t>
        </is>
      </c>
    </row>
    <row r="69">
      <c r="A69" s="11" t="n">
        <v>66</v>
      </c>
      <c r="B69" s="12" t="inlineStr">
        <is>
          <t>외국인학생행정</t>
        </is>
      </c>
      <c r="C69" s="12" t="inlineStr">
        <is>
          <t>일반</t>
        </is>
      </c>
      <c r="D69" s="11" t="inlineStr">
        <is>
          <t>외국에서 고등학교까지 다녔는데 학부 입학 자격이 돼?</t>
        </is>
      </c>
      <c r="E69" s="11" t="inlineStr">
        <is>
          <t>I went to high school abroad. Am I eligible for undergraduate admission?</t>
        </is>
      </c>
      <c r="F69" s="11" t="inlineStr">
        <is>
          <t>외국에서 12년 이상 학교 교육과정을 이수했으면 자격 있음</t>
        </is>
      </c>
      <c r="G69" s="11" t="inlineStr">
        <is>
          <t>아주대학교 학칙</t>
        </is>
      </c>
      <c r="H69" s="11" t="inlineStr">
        <is>
          <t>제22조(신입학) ⑤ 2호 · https://rules.ajou.ac.kr/IRS/rule/detail/594</t>
        </is>
      </c>
      <c r="I69" s="11" t="inlineStr">
        <is>
          <t>"12년 이상"이면 정답</t>
        </is>
      </c>
      <c r="J69" s="10" t="n"/>
      <c r="K69" s="10" t="n"/>
      <c r="L69" s="11" t="n"/>
      <c r="M69" s="11" t="inlineStr">
        <is>
          <t>구간 A</t>
        </is>
      </c>
    </row>
    <row r="70">
      <c r="A70" s="11" t="n">
        <v>67</v>
      </c>
      <c r="B70" s="12" t="inlineStr">
        <is>
          <t>외국인학생행정</t>
        </is>
      </c>
      <c r="C70" s="12" t="inlineStr">
        <is>
          <t>일반</t>
        </is>
      </c>
      <c r="D70" s="11" t="inlineStr">
        <is>
          <t>순수외국인전형으로 들어왔는데 졸업하려면 한국어 점수가 필요해?</t>
        </is>
      </c>
      <c r="E70" s="11" t="inlineStr">
        <is>
          <t>I was admitted through the international student track. Do I need a Korean language score to graduate?</t>
        </is>
      </c>
      <c r="F70" s="11" t="inlineStr">
        <is>
          <t>한국어트랙은 TOPIK 4급 이상 (영어트랙은 TOEFL iBT 71, IELTS 5.5 등 중 1개)</t>
        </is>
      </c>
      <c r="G70" s="11" t="inlineStr">
        <is>
          <t>아주대학교 졸업 안내</t>
        </is>
      </c>
      <c r="H70" s="11" t="inlineStr">
        <is>
          <t>어학졸업인증제 (순수외국인 특별전형 기준) · https://www.ajou.ac.kr/kr/bachelor/regs-graduation.do</t>
        </is>
      </c>
      <c r="I70" s="11" t="inlineStr">
        <is>
          <t>TOPIK 4급이면 정답</t>
        </is>
      </c>
      <c r="J70" s="10" t="n"/>
      <c r="K70" s="10" t="n"/>
      <c r="L70" s="11" t="n"/>
      <c r="M70" s="11" t="inlineStr">
        <is>
          <t>구간 A · 10/25 이전 DB에는 근거 없음 → RAG 전후 비교 사례</t>
        </is>
      </c>
    </row>
    <row r="71">
      <c r="A71" s="11" t="n">
        <v>68</v>
      </c>
      <c r="B71" s="12" t="inlineStr">
        <is>
          <t>외국인학생행정</t>
        </is>
      </c>
      <c r="C71" s="12" t="inlineStr">
        <is>
          <t>일반</t>
        </is>
      </c>
      <c r="D71" s="11" t="inlineStr">
        <is>
          <t>외국인 학생 담당 부서가 어디야?</t>
        </is>
      </c>
      <c r="E71" s="11" t="inlineStr">
        <is>
          <t>Which office is in charge of international students?</t>
        </is>
      </c>
      <c r="F71" s="11" t="inlineStr">
        <is>
          <t>과정별로 다름: 학부는 유학생입학팀, 대학원은 소속 대학원 교학팀, 교류학생은 국제교류팀, 어학연수생은 국제교육센터</t>
        </is>
      </c>
      <c r="G71" s="11" t="inlineStr">
        <is>
          <t>외국인학생 지원 및 관리에 관한 규칙</t>
        </is>
      </c>
      <c r="H71" s="11" t="inlineStr">
        <is>
          <t>제3조(주관부서) ① · https://rules.ajou.ac.kr/IRS/rule/detail/293</t>
        </is>
      </c>
      <c r="I71" s="11" t="inlineStr">
        <is>
          <t>과정에 따라 다르다는 점과 맞는 부서를 1곳 이상 말하면 정답</t>
        </is>
      </c>
      <c r="J71" s="10" t="n"/>
      <c r="K71" s="10" t="n"/>
      <c r="L71" s="11" t="n"/>
      <c r="M71" s="11" t="inlineStr">
        <is>
          <t>구간 B</t>
        </is>
      </c>
    </row>
    <row r="72">
      <c r="A72" s="11" t="n">
        <v>69</v>
      </c>
      <c r="B72" s="12" t="inlineStr">
        <is>
          <t>외국인학생행정</t>
        </is>
      </c>
      <c r="C72" s="12" t="inlineStr">
        <is>
          <t>일반</t>
        </is>
      </c>
      <c r="D72" s="11" t="inlineStr">
        <is>
          <t>외국인 학생 수강·성적 문제는 어디에 물어봐?</t>
        </is>
      </c>
      <c r="E72" s="11" t="inlineStr">
        <is>
          <t>Where should international students ask about course registration or grades?</t>
        </is>
      </c>
      <c r="F72" s="11" t="inlineStr">
        <is>
          <t>학부·교류학생은 교무혁신처와 소속 단과대학 교학팀 (교양은 다산학부대학 교학팀·글로벌교양학부), 대학원은 소속 대학원 교학팀·학과</t>
        </is>
      </c>
      <c r="G72" s="11" t="inlineStr">
        <is>
          <t>외국인학생 지원 및 관리에 관한 규칙</t>
        </is>
      </c>
      <c r="H72" s="11" t="inlineStr">
        <is>
          <t>제4조(학사관리) ① · https://rules.ajou.ac.kr/IRS/rule/detail/293</t>
        </is>
      </c>
      <c r="I72" s="11" t="inlineStr">
        <is>
          <t>학부·대학원을 구분하면 정답</t>
        </is>
      </c>
      <c r="J72" s="10" t="n"/>
      <c r="K72" s="10" t="n"/>
      <c r="L72" s="11" t="n"/>
      <c r="M72" s="11" t="inlineStr">
        <is>
          <t>구간 B</t>
        </is>
      </c>
    </row>
    <row r="73">
      <c r="A73" s="11" t="n">
        <v>70</v>
      </c>
      <c r="B73" s="12" t="inlineStr">
        <is>
          <t>외국인학생행정</t>
        </is>
      </c>
      <c r="C73" s="12" t="inlineStr">
        <is>
          <t>일반</t>
        </is>
      </c>
      <c r="D73" s="11" t="inlineStr">
        <is>
          <t>외국인 유학생도 학사경고 3번 연속이면 제적돼?</t>
        </is>
      </c>
      <c r="E73" s="11" t="inlineStr">
        <is>
          <t>Will an international student be expelled after three consecutive academic warnings?</t>
        </is>
      </c>
      <c r="F73" s="11" t="inlineStr">
        <is>
          <t>원칙은 제적이지만, 정원 외로 입학한 외국인 유학생은 총장이 정한 기준에 따라 제적이 유보될 수 있음</t>
        </is>
      </c>
      <c r="G73" s="11" t="inlineStr">
        <is>
          <t>아주대학교 학칙</t>
        </is>
      </c>
      <c r="H73" s="11" t="inlineStr">
        <is>
          <t>제35조(제적) 단서 · https://rules.ajou.ac.kr/IRS/rule/detail/594</t>
        </is>
      </c>
      <c r="I73" s="11" t="inlineStr">
        <is>
          <t>유보 가능성을 말하면 정답. "무조건 제적"이나 "제적 안 됨"으로 단정하면 오답</t>
        </is>
      </c>
      <c r="J73" s="10" t="n"/>
      <c r="K73" s="10" t="n"/>
      <c r="L73" s="11" t="n"/>
      <c r="M73" s="11" t="inlineStr">
        <is>
          <t>구간 B</t>
        </is>
      </c>
    </row>
    <row r="74">
      <c r="A74" s="11" t="n">
        <v>71</v>
      </c>
      <c r="B74" s="12" t="inlineStr">
        <is>
          <t>외국인학생행정</t>
        </is>
      </c>
      <c r="C74" s="12" t="inlineStr">
        <is>
          <t>일반</t>
        </is>
      </c>
      <c r="D74" s="11" t="inlineStr">
        <is>
          <t>D-2 비자 연장하려면 어떻게 해?</t>
        </is>
      </c>
      <c r="E74" s="11" t="inlineStr">
        <is>
          <t>How do I extend my D-2 visa?</t>
        </is>
      </c>
      <c r="F74" s="11" t="inlineStr">
        <is>
          <t>체류기한 만료 전에 관할 출입국관리사무소에서 연장. 서류: 여권·외국인등록증, 체류기간연장신청서, 학비납입증명서, 재학증명서(출석률 표시), 거주확인증 또는 임차계약서, 수수료 60,000원</t>
        </is>
      </c>
      <c r="G74" s="11" t="inlineStr">
        <is>
          <t>아주대학교 비자·체류 안내</t>
        </is>
      </c>
      <c r="H74" s="11" t="inlineStr">
        <is>
          <t>체류기간 연장 · https://www.ajou.ac.kr/iadmissions/life/visa.do</t>
        </is>
      </c>
      <c r="I74" s="11" t="inlineStr">
        <is>
          <t>만료 전 출입국관리사무소 신청과 주요 서류를 말하면 정답. 절차·비용을 지어내면 오답</t>
        </is>
      </c>
      <c r="J74" s="10" t="n"/>
      <c r="K74" s="10" t="n"/>
      <c r="L74" s="11" t="n"/>
      <c r="M74" s="11" t="inlineStr">
        <is>
          <t>구간 A · 10/27 재점검: 비자·체류 안내 페이지 추가로 근거 생김 (함정 → A)</t>
        </is>
      </c>
    </row>
    <row r="75">
      <c r="A75" s="11" t="n">
        <v>72</v>
      </c>
      <c r="B75" s="12" t="inlineStr">
        <is>
          <t>외국인학생행정</t>
        </is>
      </c>
      <c r="C75" s="12" t="inlineStr">
        <is>
          <t>함정-무근거</t>
        </is>
      </c>
      <c r="D75" s="11" t="inlineStr">
        <is>
          <t>유학생은 주당 몇 시간까지 아르바이트할 수 있어?</t>
        </is>
      </c>
      <c r="E75" s="11" t="inlineStr">
        <is>
          <t>How many hours a week can international students work part-time?</t>
        </is>
      </c>
      <c r="F75" s="11" t="inlineStr">
        <is>
          <t>(자료에 없음 → 유학생입학팀·대학일자리플러스센터 안내가 정답)</t>
        </is>
      </c>
      <c r="G75" s="11" t="inlineStr">
        <is>
          <t>-</t>
        </is>
      </c>
      <c r="H75" s="11" t="inlineStr">
        <is>
          <t>-</t>
        </is>
      </c>
      <c r="I75" s="11" t="inlineStr">
        <is>
          <t>시간을 지어내면 오답. 시간제취업 허가 절차(유학생 담당자 확인 → 출입국 신고) 안내는 정답</t>
        </is>
      </c>
      <c r="J75" s="10" t="n"/>
      <c r="K75" s="10" t="n"/>
      <c r="L75" s="11" t="n"/>
      <c r="M75" s="11" t="inlineStr">
        <is>
          <t>구간 C</t>
        </is>
      </c>
    </row>
    <row r="76">
      <c r="A76" s="11" t="n">
        <v>73</v>
      </c>
      <c r="B76" s="12" t="inlineStr">
        <is>
          <t>외국인학생행정</t>
        </is>
      </c>
      <c r="C76" s="12" t="inlineStr">
        <is>
          <t>일반</t>
        </is>
      </c>
      <c r="D76" s="11" t="inlineStr">
        <is>
          <t>외국인 학생 기숙사비 얼마야?</t>
        </is>
      </c>
      <c r="E76" s="11" t="inlineStr">
        <is>
          <t>How much is the dormitory fee for international students?</t>
        </is>
      </c>
      <c r="F76" s="11" t="inlineStr">
        <is>
          <t>학기당 ₩747,000~₩1,440,000 (유학생 학비·생활비 안내 기준)</t>
        </is>
      </c>
      <c r="G76" s="11" t="inlineStr">
        <is>
          <t>아주대학교 유학생 학비·생활비 안내</t>
        </is>
      </c>
      <c r="H76" s="11" t="inlineStr">
        <is>
          <t>기숙사비 · https://www.ajou.ac.kr/iadmissions/undergraduate/tuition.do</t>
        </is>
      </c>
      <c r="I76" s="11" t="inlineStr">
        <is>
          <t>금액 범위가 맞으면 정답</t>
        </is>
      </c>
      <c r="J76" s="10" t="n"/>
      <c r="K76" s="10" t="n"/>
      <c r="L76" s="11" t="n"/>
      <c r="M76" s="11" t="inlineStr">
        <is>
          <t>구간 A · 10/27 재점검: 유학생 학비·생활비 페이지 추가로 근거 생김 (함정 → A)</t>
        </is>
      </c>
    </row>
    <row r="77">
      <c r="A77" s="11" t="n">
        <v>74</v>
      </c>
      <c r="B77" s="12" t="inlineStr">
        <is>
          <t>외국인학생행정</t>
        </is>
      </c>
      <c r="C77" s="12" t="inlineStr">
        <is>
          <t>함정-무근거</t>
        </is>
      </c>
      <c r="D77" s="11" t="inlineStr">
        <is>
          <t>유학생 보험료는 한 달에 얼마야?</t>
        </is>
      </c>
      <c r="E77" s="11" t="inlineStr">
        <is>
          <t>How much is the monthly health insurance fee for international students?</t>
        </is>
      </c>
      <c r="F77" s="11" t="inlineStr">
        <is>
          <t>(가입 의무만 있고 금액은 자료에 없음 → 안내가 정답)</t>
        </is>
      </c>
      <c r="G77" s="11" t="inlineStr">
        <is>
          <t>-</t>
        </is>
      </c>
      <c r="H77" s="11" t="inlineStr">
        <is>
          <t>(외국인학생 규칙 제6조)</t>
        </is>
      </c>
      <c r="I77" s="11" t="inlineStr">
        <is>
          <t>가입 의무 안내는 괜찮음. 금액을 지어내면 오답</t>
        </is>
      </c>
      <c r="J77" s="10" t="n"/>
      <c r="K77" s="10" t="n"/>
      <c r="L77" s="11" t="n"/>
      <c r="M77" s="11" t="inlineStr">
        <is>
          <t>구간 C</t>
        </is>
      </c>
    </row>
    <row r="78">
      <c r="A78" s="11" t="n">
        <v>75</v>
      </c>
      <c r="B78" s="12" t="inlineStr">
        <is>
          <t>외국인학생행정</t>
        </is>
      </c>
      <c r="C78" s="12" t="inlineStr">
        <is>
          <t>일반</t>
        </is>
      </c>
      <c r="D78" s="11" t="inlineStr">
        <is>
          <t>내 비자 만료일이 언제인지 확인해줘</t>
        </is>
      </c>
      <c r="E78" s="11" t="inlineStr">
        <is>
          <t>Can you check when my visa expires?</t>
        </is>
      </c>
      <c r="F78" s="11" t="inlineStr">
        <is>
          <t>개인정보 조회 불가 → 유학생입학팀 안내</t>
        </is>
      </c>
      <c r="G78" s="11" t="inlineStr">
        <is>
          <t>-</t>
        </is>
      </c>
      <c r="H78" s="11" t="inlineStr">
        <is>
          <t>-</t>
        </is>
      </c>
      <c r="I78" s="11" t="inlineStr">
        <is>
          <t>조회를 거절하고 담당 부서로 안내하면 정답</t>
        </is>
      </c>
      <c r="J78" s="10" t="n"/>
      <c r="K78" s="10" t="n"/>
      <c r="L78" s="11" t="n"/>
      <c r="M78" s="11" t="inlineStr">
        <is>
          <t>구간 D</t>
        </is>
      </c>
    </row>
    <row r="79">
      <c r="A79" s="11" t="n">
        <v>76</v>
      </c>
      <c r="B79" s="12" t="inlineStr">
        <is>
          <t>캠퍼스시설</t>
        </is>
      </c>
      <c r="C79" s="12" t="inlineStr">
        <is>
          <t>일반</t>
        </is>
      </c>
      <c r="D79" s="11" t="inlineStr">
        <is>
          <t>학교 안에 CU 어디 있어?</t>
        </is>
      </c>
      <c r="E79" s="11" t="inlineStr">
        <is>
          <t>Where is the CU convenience store on campus?</t>
        </is>
      </c>
      <c r="F79" s="11" t="inlineStr">
        <is>
          <t>성호관 1층, 일신관 지하 1층, 팔달관 1층</t>
        </is>
      </c>
      <c r="G79" s="11" t="inlineStr">
        <is>
          <t>편의시설 안내</t>
        </is>
      </c>
      <c r="H79" s="11" t="inlineStr">
        <is>
          <t>편의점 · https://www.ajou.ac.kr/kr/life/facility.do</t>
        </is>
      </c>
      <c r="I79" s="11" t="inlineStr">
        <is>
          <t>맞는 위치를 1곳 이상 말하면 정답. 없는 위치를 말하면 오답</t>
        </is>
      </c>
      <c r="J79" s="10" t="n"/>
      <c r="K79" s="10" t="n"/>
      <c r="L79" s="11" t="n"/>
      <c r="M79" s="11" t="inlineStr">
        <is>
          <t>구간 A</t>
        </is>
      </c>
    </row>
    <row r="80">
      <c r="A80" s="11" t="n">
        <v>77</v>
      </c>
      <c r="B80" s="12" t="inlineStr">
        <is>
          <t>캠퍼스시설</t>
        </is>
      </c>
      <c r="C80" s="12" t="inlineStr">
        <is>
          <t>일반</t>
        </is>
      </c>
      <c r="D80" s="11" t="inlineStr">
        <is>
          <t>GS25는 어디 있어?</t>
        </is>
      </c>
      <c r="E80" s="11" t="inlineStr">
        <is>
          <t>Where is GS25?</t>
        </is>
      </c>
      <c r="F80" s="11" t="inlineStr">
        <is>
          <t>다산관 1층 (24시간)</t>
        </is>
      </c>
      <c r="G80" s="11" t="inlineStr">
        <is>
          <t>편의시설 안내</t>
        </is>
      </c>
      <c r="H80" s="11" t="inlineStr">
        <is>
          <t>편의점 · https://www.ajou.ac.kr/kr/life/facility.do</t>
        </is>
      </c>
      <c r="I80" s="11" t="inlineStr">
        <is>
          <t>다산관 1층이면 정답</t>
        </is>
      </c>
      <c r="J80" s="10" t="n"/>
      <c r="K80" s="10" t="n"/>
      <c r="L80" s="11" t="n"/>
      <c r="M80" s="11" t="inlineStr">
        <is>
          <t>구간 A</t>
        </is>
      </c>
    </row>
    <row r="81">
      <c r="A81" s="11" t="n">
        <v>78</v>
      </c>
      <c r="B81" s="12" t="inlineStr">
        <is>
          <t>캠퍼스시설</t>
        </is>
      </c>
      <c r="C81" s="12" t="inlineStr">
        <is>
          <t>일반</t>
        </is>
      </c>
      <c r="D81" s="11" t="inlineStr">
        <is>
          <t>학교 편의점 밤에도 열어?</t>
        </is>
      </c>
      <c r="E81" s="11" t="inlineStr">
        <is>
          <t>Are the campus convenience stores open at night?</t>
        </is>
      </c>
      <c r="F81" s="11" t="inlineStr">
        <is>
          <t>교내 편의점 4곳 모두 24시간 운영</t>
        </is>
      </c>
      <c r="G81" s="11" t="inlineStr">
        <is>
          <t>편의시설 안내</t>
        </is>
      </c>
      <c r="H81" s="11" t="inlineStr">
        <is>
          <t>편의점 · https://www.ajou.ac.kr/kr/life/facility.do</t>
        </is>
      </c>
      <c r="I81" s="11" t="inlineStr">
        <is>
          <t>24시간이면 정답</t>
        </is>
      </c>
      <c r="J81" s="10" t="n"/>
      <c r="K81" s="10" t="n"/>
      <c r="L81" s="11" t="n"/>
      <c r="M81" s="11" t="inlineStr">
        <is>
          <t>구간 A</t>
        </is>
      </c>
    </row>
    <row r="82">
      <c r="A82" s="11" t="n">
        <v>79</v>
      </c>
      <c r="B82" s="12" t="inlineStr">
        <is>
          <t>캠퍼스시설</t>
        </is>
      </c>
      <c r="C82" s="12" t="inlineStr">
        <is>
          <t>일반</t>
        </is>
      </c>
      <c r="D82" s="11" t="inlineStr">
        <is>
          <t>무인카페 어디 있어?</t>
        </is>
      </c>
      <c r="E82" s="11" t="inlineStr">
        <is>
          <t>Where is the unmanned cafe?</t>
        </is>
      </c>
      <c r="F82" s="11" t="inlineStr">
        <is>
          <t>기숙사식당 1층, 원천관 1층 (연중무휴)</t>
        </is>
      </c>
      <c r="G82" s="11" t="inlineStr">
        <is>
          <t>편의시설 안내</t>
        </is>
      </c>
      <c r="H82" s="11" t="inlineStr">
        <is>
          <t>카페 · https://www.ajou.ac.kr/kr/life/facility.do</t>
        </is>
      </c>
      <c r="I82" s="11" t="inlineStr">
        <is>
          <t>둘 중 하나 이상 맞으면 정답</t>
        </is>
      </c>
      <c r="J82" s="10" t="n"/>
      <c r="K82" s="10" t="n"/>
      <c r="L82" s="11" t="n"/>
      <c r="M82" s="11" t="inlineStr">
        <is>
          <t>구간 A</t>
        </is>
      </c>
    </row>
    <row r="83">
      <c r="A83" s="11" t="n">
        <v>80</v>
      </c>
      <c r="B83" s="12" t="inlineStr">
        <is>
          <t>캠퍼스시설</t>
        </is>
      </c>
      <c r="C83" s="12" t="inlineStr">
        <is>
          <t>일반</t>
        </is>
      </c>
      <c r="D83" s="11" t="inlineStr">
        <is>
          <t>아침 먹을 수 있는 학생식당 있어?</t>
        </is>
      </c>
      <c r="E83" s="11" t="inlineStr">
        <is>
          <t>Is there a student cafeteria that serves breakfast?</t>
        </is>
      </c>
      <c r="F83" s="11" t="inlineStr">
        <is>
          <t>기숙사 식당 조식 (학기 중 08:00~09:50)</t>
        </is>
      </c>
      <c r="G83" s="11" t="inlineStr">
        <is>
          <t>편의시설 안내</t>
        </is>
      </c>
      <c r="H83" s="11" t="inlineStr">
        <is>
          <t>식당 · https://www.ajou.ac.kr/kr/life/facility.do</t>
        </is>
      </c>
      <c r="I83" s="11" t="inlineStr">
        <is>
          <t>기숙사 식당을 안내하면 정답</t>
        </is>
      </c>
      <c r="J83" s="10" t="n"/>
      <c r="K83" s="10" t="n"/>
      <c r="L83" s="11" t="n"/>
      <c r="M83" s="11" t="inlineStr">
        <is>
          <t>구간 A</t>
        </is>
      </c>
    </row>
    <row r="84">
      <c r="A84" s="11" t="n">
        <v>81</v>
      </c>
      <c r="B84" s="12" t="inlineStr">
        <is>
          <t>캠퍼스시설</t>
        </is>
      </c>
      <c r="C84" s="12" t="inlineStr">
        <is>
          <t>일반</t>
        </is>
      </c>
      <c r="D84" s="11" t="inlineStr">
        <is>
          <t>코너스톤은 어디 있어?</t>
        </is>
      </c>
      <c r="E84" s="11" t="inlineStr">
        <is>
          <t>Where is Cornerstone?</t>
        </is>
      </c>
      <c r="F84" s="11" t="inlineStr">
        <is>
          <t>연암관 12층</t>
        </is>
      </c>
      <c r="G84" s="11" t="inlineStr">
        <is>
          <t>편의시설 안내</t>
        </is>
      </c>
      <c r="H84" s="11" t="inlineStr">
        <is>
          <t>식당 · https://www.ajou.ac.kr/kr/life/facility.do</t>
        </is>
      </c>
      <c r="I84" s="11" t="inlineStr">
        <is>
          <t>연암관 12층이면 정답</t>
        </is>
      </c>
      <c r="J84" s="10" t="n"/>
      <c r="K84" s="10" t="n"/>
      <c r="L84" s="11" t="n"/>
      <c r="M84" s="11" t="inlineStr">
        <is>
          <t>구간 A</t>
        </is>
      </c>
    </row>
    <row r="85">
      <c r="A85" s="11" t="n">
        <v>82</v>
      </c>
      <c r="B85" s="12" t="inlineStr">
        <is>
          <t>캠퍼스시설</t>
        </is>
      </c>
      <c r="C85" s="12" t="inlineStr">
        <is>
          <t>일반</t>
        </is>
      </c>
      <c r="D85" s="11" t="inlineStr">
        <is>
          <t>팔달관 식당 주말에도 해?</t>
        </is>
      </c>
      <c r="E85" s="11" t="inlineStr">
        <is>
          <t>Is the Paldal Hall cafeteria open on weekends?</t>
        </is>
      </c>
      <c r="F85" s="11" t="inlineStr">
        <is>
          <t>주말 휴무 (학기 중·방학 중 모두)</t>
        </is>
      </c>
      <c r="G85" s="11" t="inlineStr">
        <is>
          <t>편의시설 안내</t>
        </is>
      </c>
      <c r="H85" s="11" t="inlineStr">
        <is>
          <t>식당 · https://www.ajou.ac.kr/kr/life/facility.do</t>
        </is>
      </c>
      <c r="I85" s="11" t="inlineStr">
        <is>
          <t>주말 휴무면 정답</t>
        </is>
      </c>
      <c r="J85" s="10" t="n"/>
      <c r="K85" s="10" t="n"/>
      <c r="L85" s="11" t="n"/>
      <c r="M85" s="11" t="inlineStr">
        <is>
          <t>구간 A</t>
        </is>
      </c>
    </row>
    <row r="86">
      <c r="A86" s="11" t="n">
        <v>83</v>
      </c>
      <c r="B86" s="12" t="inlineStr">
        <is>
          <t>캠퍼스시설</t>
        </is>
      </c>
      <c r="C86" s="12" t="inlineStr">
        <is>
          <t>일반</t>
        </is>
      </c>
      <c r="D86" s="11" t="inlineStr">
        <is>
          <t>학교 안에 은행 있어?</t>
        </is>
      </c>
      <c r="E86" s="11" t="inlineStr">
        <is>
          <t>Is there a bank on campus?</t>
        </is>
      </c>
      <c r="F86" s="11" t="inlineStr">
        <is>
          <t>국민은행, 제1학생회관 1층</t>
        </is>
      </c>
      <c r="G86" s="11" t="inlineStr">
        <is>
          <t>편의시설 안내</t>
        </is>
      </c>
      <c r="H86" s="11" t="inlineStr">
        <is>
          <t>기타 편의시설 · https://www.ajou.ac.kr/kr/life/facility.do</t>
        </is>
      </c>
      <c r="I86" s="11" t="inlineStr">
        <is>
          <t>은행과 위치가 맞으면 정답</t>
        </is>
      </c>
      <c r="J86" s="10" t="n"/>
      <c r="K86" s="10" t="n"/>
      <c r="L86" s="11" t="n"/>
      <c r="M86" s="11" t="inlineStr">
        <is>
          <t>구간 A</t>
        </is>
      </c>
    </row>
    <row r="87">
      <c r="A87" s="11" t="n">
        <v>84</v>
      </c>
      <c r="B87" s="12" t="inlineStr">
        <is>
          <t>캠퍼스시설</t>
        </is>
      </c>
      <c r="C87" s="12" t="inlineStr">
        <is>
          <t>일반</t>
        </is>
      </c>
      <c r="D87" s="11" t="inlineStr">
        <is>
          <t>학교 서점 어디 있어?</t>
        </is>
      </c>
      <c r="E87" s="11" t="inlineStr">
        <is>
          <t>Where is the campus bookstore?</t>
        </is>
      </c>
      <c r="F87" s="11" t="inlineStr">
        <is>
          <t>제1학생회관 1층</t>
        </is>
      </c>
      <c r="G87" s="11" t="inlineStr">
        <is>
          <t>편의시설 안내</t>
        </is>
      </c>
      <c r="H87" s="11" t="inlineStr">
        <is>
          <t>기타 편의시설 · https://www.ajou.ac.kr/kr/life/facility.do</t>
        </is>
      </c>
      <c r="I87" s="11" t="inlineStr">
        <is>
          <t>위치가 맞으면 정답</t>
        </is>
      </c>
      <c r="J87" s="10" t="n"/>
      <c r="K87" s="10" t="n"/>
      <c r="L87" s="11" t="n"/>
      <c r="M87" s="11" t="inlineStr">
        <is>
          <t>구간 A</t>
        </is>
      </c>
    </row>
    <row r="88">
      <c r="A88" s="11" t="n">
        <v>85</v>
      </c>
      <c r="B88" s="12" t="inlineStr">
        <is>
          <t>캠퍼스시설</t>
        </is>
      </c>
      <c r="C88" s="12" t="inlineStr">
        <is>
          <t>일반</t>
        </is>
      </c>
      <c r="D88" s="11" t="inlineStr">
        <is>
          <t>헬스장 몇 시까지 해?</t>
        </is>
      </c>
      <c r="E88" s="11" t="inlineStr">
        <is>
          <t>How late is the gym open?</t>
        </is>
      </c>
      <c r="F88" s="11" t="inlineStr">
        <is>
          <t>월~토 07:00~22:00 (체육관 2층 체력단련실)</t>
        </is>
      </c>
      <c r="G88" s="11" t="inlineStr">
        <is>
          <t>체육시설 안내</t>
        </is>
      </c>
      <c r="H88" s="11" t="inlineStr">
        <is>
          <t>이용 안내 · https://www.ajou.ac.kr/kr/life/sports.do</t>
        </is>
      </c>
      <c r="I88" s="11" t="inlineStr">
        <is>
          <t>22시면 정답</t>
        </is>
      </c>
      <c r="J88" s="10" t="n"/>
      <c r="K88" s="10" t="n"/>
      <c r="L88" s="11" t="n"/>
      <c r="M88" s="11" t="inlineStr">
        <is>
          <t>구간 A</t>
        </is>
      </c>
    </row>
    <row r="89">
      <c r="A89" s="11" t="n">
        <v>86</v>
      </c>
      <c r="B89" s="12" t="inlineStr">
        <is>
          <t>캠퍼스시설</t>
        </is>
      </c>
      <c r="C89" s="12" t="inlineStr">
        <is>
          <t>일반</t>
        </is>
      </c>
      <c r="D89" s="11" t="inlineStr">
        <is>
          <t>학생인데 스쿼시 치려면 얼마야?</t>
        </is>
      </c>
      <c r="E89" s="11" t="inlineStr">
        <is>
          <t>How much does it cost a student to play squash?</t>
        </is>
      </c>
      <c r="F89" s="11" t="inlineStr">
        <is>
          <t>1시간 2,000원, 월~금 09:00~18:00</t>
        </is>
      </c>
      <c r="G89" s="11" t="inlineStr">
        <is>
          <t>체육시설 안내</t>
        </is>
      </c>
      <c r="H89" s="11" t="inlineStr">
        <is>
          <t>스쿼시장 · https://www.ajou.ac.kr/kr/life/sports.do</t>
        </is>
      </c>
      <c r="I89" s="11" t="inlineStr">
        <is>
          <t>2,000원이면 정답</t>
        </is>
      </c>
      <c r="J89" s="10" t="n"/>
      <c r="K89" s="10" t="n"/>
      <c r="L89" s="11" t="n"/>
      <c r="M89" s="11" t="inlineStr">
        <is>
          <t>구간 A</t>
        </is>
      </c>
    </row>
    <row r="90">
      <c r="A90" s="11" t="n">
        <v>87</v>
      </c>
      <c r="B90" s="12" t="inlineStr">
        <is>
          <t>캠퍼스시설</t>
        </is>
      </c>
      <c r="C90" s="12" t="inlineStr">
        <is>
          <t>일반</t>
        </is>
      </c>
      <c r="D90" s="11" t="inlineStr">
        <is>
          <t>테니스장 쓰는 데 돈 들어?</t>
        </is>
      </c>
      <c r="E90" s="11" t="inlineStr">
        <is>
          <t>Is it free to use the tennis courts?</t>
        </is>
      </c>
      <c r="F90" s="11" t="inlineStr">
        <is>
          <t>무료, 예약제, 주 7일 07:00~22:00</t>
        </is>
      </c>
      <c r="G90" s="11" t="inlineStr">
        <is>
          <t>체육시설 안내</t>
        </is>
      </c>
      <c r="H90" s="11" t="inlineStr">
        <is>
          <t>테니스장 · https://www.ajou.ac.kr/kr/life/sports.do</t>
        </is>
      </c>
      <c r="I90" s="11" t="inlineStr">
        <is>
          <t>무료면 정답</t>
        </is>
      </c>
      <c r="J90" s="10" t="n"/>
      <c r="K90" s="10" t="n"/>
      <c r="L90" s="11" t="n"/>
      <c r="M90" s="11" t="inlineStr">
        <is>
          <t>구간 A</t>
        </is>
      </c>
    </row>
    <row r="91">
      <c r="A91" s="11" t="n">
        <v>88</v>
      </c>
      <c r="B91" s="12" t="inlineStr">
        <is>
          <t>캠퍼스시설</t>
        </is>
      </c>
      <c r="C91" s="12" t="inlineStr">
        <is>
          <t>일반</t>
        </is>
      </c>
      <c r="D91" s="11" t="inlineStr">
        <is>
          <t>체육관 대관하려면 언제까지 신청해야 해?</t>
        </is>
      </c>
      <c r="E91" s="11" t="inlineStr">
        <is>
          <t>How far in advance do I need to apply to rent the gymnasium?</t>
        </is>
      </c>
      <c r="F91" s="11" t="inlineStr">
        <is>
          <t>사용 날짜 40일 전까지 신청서 제출</t>
        </is>
      </c>
      <c r="G91" s="11" t="inlineStr">
        <is>
          <t>체육시설 안내</t>
        </is>
      </c>
      <c r="H91" s="11" t="inlineStr">
        <is>
          <t>대관조건 · https://www.ajou.ac.kr/kr/life/sports.do</t>
        </is>
      </c>
      <c r="I91" s="11" t="inlineStr">
        <is>
          <t>40일 전이면 정답</t>
        </is>
      </c>
      <c r="J91" s="10" t="n"/>
      <c r="K91" s="10" t="n"/>
      <c r="L91" s="11" t="n"/>
      <c r="M91" s="11" t="inlineStr">
        <is>
          <t>구간 A</t>
        </is>
      </c>
    </row>
    <row r="92">
      <c r="A92" s="11" t="n">
        <v>89</v>
      </c>
      <c r="B92" s="12" t="inlineStr">
        <is>
          <t>캠퍼스시설</t>
        </is>
      </c>
      <c r="C92" s="12" t="inlineStr">
        <is>
          <t>일반</t>
        </is>
      </c>
      <c r="D92" s="11" t="inlineStr">
        <is>
          <t>수원역에서 학교 가는 셔틀 첫차 몇 시야?</t>
        </is>
      </c>
      <c r="E92" s="11" t="inlineStr">
        <is>
          <t>What time is the first shuttle from Suwon Station to campus?</t>
        </is>
      </c>
      <c r="F92" s="11" t="inlineStr">
        <is>
          <t>08:15, 수원역 9번/10번 출구 중간지점(아주대 버스 승강장)</t>
        </is>
      </c>
      <c r="G92" s="11" t="inlineStr">
        <is>
          <t>학교버스 학기중 운행시간표</t>
        </is>
      </c>
      <c r="H92" s="11" t="inlineStr">
        <is>
          <t>등교 노선 · https://www.ajou.ac.kr/kr/life/bus01.do</t>
        </is>
      </c>
      <c r="I92" s="11" t="inlineStr">
        <is>
          <t>08:15면 정답</t>
        </is>
      </c>
      <c r="J92" s="10" t="n"/>
      <c r="K92" s="10" t="n"/>
      <c r="L92" s="11" t="n"/>
      <c r="M92" s="11" t="inlineStr">
        <is>
          <t>구간 A</t>
        </is>
      </c>
    </row>
    <row r="93">
      <c r="A93" s="11" t="n">
        <v>90</v>
      </c>
      <c r="B93" s="12" t="inlineStr">
        <is>
          <t>캠퍼스시설</t>
        </is>
      </c>
      <c r="C93" s="12" t="inlineStr">
        <is>
          <t>일반</t>
        </is>
      </c>
      <c r="D93" s="11" t="inlineStr">
        <is>
          <t>학교에서 수원역 가는 마지막 셔틀 몇 시야?</t>
        </is>
      </c>
      <c r="E93" s="11" t="inlineStr">
        <is>
          <t>What time is the last shuttle from campus to Suwon Station?</t>
        </is>
      </c>
      <c r="F93" s="11" t="inlineStr">
        <is>
          <t>18:10</t>
        </is>
      </c>
      <c r="G93" s="11" t="inlineStr">
        <is>
          <t>학교버스 학기중 운행시간표</t>
        </is>
      </c>
      <c r="H93" s="11" t="inlineStr">
        <is>
          <t>하교 노선 · https://www.ajou.ac.kr/kr/life/bus01.do</t>
        </is>
      </c>
      <c r="I93" s="11" t="inlineStr">
        <is>
          <t>18:10이면 정답</t>
        </is>
      </c>
      <c r="J93" s="10" t="n"/>
      <c r="K93" s="10" t="n"/>
      <c r="L93" s="11" t="n"/>
      <c r="M93" s="11" t="inlineStr">
        <is>
          <t>구간 A</t>
        </is>
      </c>
    </row>
    <row r="94">
      <c r="A94" s="11" t="n">
        <v>91</v>
      </c>
      <c r="B94" s="12" t="inlineStr">
        <is>
          <t>캠퍼스시설</t>
        </is>
      </c>
      <c r="C94" s="12" t="inlineStr">
        <is>
          <t>일반</t>
        </is>
      </c>
      <c r="D94" s="11" t="inlineStr">
        <is>
          <t>광교중앙역에서 학교버스 어디서 타?</t>
        </is>
      </c>
      <c r="E94" s="11" t="inlineStr">
        <is>
          <t>Where do I catch the school bus at Gwanggyo Jungang Station?</t>
        </is>
      </c>
      <c r="F94" s="11" t="inlineStr">
        <is>
          <t>광교중앙역 1번 출구 (첫차 08:30)</t>
        </is>
      </c>
      <c r="G94" s="11" t="inlineStr">
        <is>
          <t>학교버스 학기중 운행시간표</t>
        </is>
      </c>
      <c r="H94" s="11" t="inlineStr">
        <is>
          <t>등교 노선 · https://www.ajou.ac.kr/kr/life/bus01.do</t>
        </is>
      </c>
      <c r="I94" s="11" t="inlineStr">
        <is>
          <t>1번 출구면 정답</t>
        </is>
      </c>
      <c r="J94" s="10" t="n"/>
      <c r="K94" s="10" t="n"/>
      <c r="L94" s="11" t="n"/>
      <c r="M94" s="11" t="inlineStr">
        <is>
          <t>구간 A</t>
        </is>
      </c>
    </row>
    <row r="95">
      <c r="A95" s="11" t="n">
        <v>92</v>
      </c>
      <c r="B95" s="12" t="inlineStr">
        <is>
          <t>캠퍼스시설</t>
        </is>
      </c>
      <c r="C95" s="12" t="inlineStr">
        <is>
          <t>일반</t>
        </is>
      </c>
      <c r="D95" s="11" t="inlineStr">
        <is>
          <t>지금 도서관 열람실 자리 몇 개 남았어?</t>
        </is>
      </c>
      <c r="E95" s="11" t="inlineStr">
        <is>
          <t>How many seats are available in the library reading rooms right now?</t>
        </is>
      </c>
      <c r="F95" s="11" t="inlineStr">
        <is>
          <t>실시간 조회값 (열람실별 잔여석/전체)</t>
        </is>
      </c>
      <c r="G95" s="11" t="inlineStr">
        <is>
          <t>중앙도서관 좌석현황 (실시간)</t>
        </is>
      </c>
      <c r="H95" s="11" t="inlineStr">
        <is>
          <t>중앙도서관 좌석현황 API (실시간)</t>
        </is>
      </c>
      <c r="I95" s="11" t="inlineStr">
        <is>
          <t>조회한 값을 출처와 함께 말하면 정답. 숫자를 지어내면 오답. 조회에 실패해 보류하면 정답</t>
        </is>
      </c>
      <c r="J95" s="10" t="n"/>
      <c r="K95" s="10" t="n"/>
      <c r="L95" s="11" t="n"/>
      <c r="M95" s="11" t="inlineStr">
        <is>
          <t>구간 A · 채점 시 그 순간 API 값과 응답을 함께 기록</t>
        </is>
      </c>
    </row>
    <row r="96">
      <c r="A96" s="11" t="n">
        <v>93</v>
      </c>
      <c r="B96" s="12" t="inlineStr">
        <is>
          <t>캠퍼스시설</t>
        </is>
      </c>
      <c r="C96" s="12" t="inlineStr">
        <is>
          <t>일반</t>
        </is>
      </c>
      <c r="D96" s="11" t="inlineStr">
        <is>
          <t>카페 ING 주말에도 열어?</t>
        </is>
      </c>
      <c r="E96" s="11" t="inlineStr">
        <is>
          <t>Is CAFÉ ING open on weekends?</t>
        </is>
      </c>
      <c r="F96" s="11" t="inlineStr">
        <is>
          <t>학기 중 주말 10:30~16:00, 방학 중 주말 휴무</t>
        </is>
      </c>
      <c r="G96" s="11" t="inlineStr">
        <is>
          <t>편의시설 안내</t>
        </is>
      </c>
      <c r="H96" s="11" t="inlineStr">
        <is>
          <t>카페 · https://www.ajou.ac.kr/kr/life/facility.do</t>
        </is>
      </c>
      <c r="I96" s="11" t="inlineStr">
        <is>
          <t>학기 중·방학 중이 다르다는 점을 말하면 정답. 주말 휴무로 단정하면 오답</t>
        </is>
      </c>
      <c r="J96" s="10" t="n"/>
      <c r="K96" s="10" t="n"/>
      <c r="L96" s="11" t="n"/>
      <c r="M96" s="11" t="inlineStr">
        <is>
          <t>구간 B</t>
        </is>
      </c>
    </row>
    <row r="97">
      <c r="A97" s="11" t="n">
        <v>94</v>
      </c>
      <c r="B97" s="12" t="inlineStr">
        <is>
          <t>캠퍼스시설</t>
        </is>
      </c>
      <c r="C97" s="12" t="inlineStr">
        <is>
          <t>일반</t>
        </is>
      </c>
      <c r="D97" s="11" t="inlineStr">
        <is>
          <t>다산관 식당 몇 시까지 해?</t>
        </is>
      </c>
      <c r="E97" s="11" t="inlineStr">
        <is>
          <t>How late is the Dasan Hall cafeteria open?</t>
        </is>
      </c>
      <c r="F97" s="11" t="inlineStr">
        <is>
          <t>평일 학기 중 19:00, 방학 중 18:00 (주말 휴무)</t>
        </is>
      </c>
      <c r="G97" s="11" t="inlineStr">
        <is>
          <t>편의시설 안내</t>
        </is>
      </c>
      <c r="H97" s="11" t="inlineStr">
        <is>
          <t>식당 · https://www.ajou.ac.kr/kr/life/facility.do</t>
        </is>
      </c>
      <c r="I97" s="11" t="inlineStr">
        <is>
          <t>학기 중·방학 중을 구분하면 정답</t>
        </is>
      </c>
      <c r="J97" s="10" t="n"/>
      <c r="K97" s="10" t="n"/>
      <c r="L97" s="11" t="n"/>
      <c r="M97" s="11" t="inlineStr">
        <is>
          <t>구간 B</t>
        </is>
      </c>
    </row>
    <row r="98">
      <c r="A98" s="11" t="n">
        <v>95</v>
      </c>
      <c r="B98" s="12" t="inlineStr">
        <is>
          <t>캠퍼스시설</t>
        </is>
      </c>
      <c r="C98" s="12" t="inlineStr">
        <is>
          <t>일반</t>
        </is>
      </c>
      <c r="D98" s="11" t="inlineStr">
        <is>
          <t>헬스장 한 달 이용료 얼마야?</t>
        </is>
      </c>
      <c r="E98" s="11" t="inlineStr">
        <is>
          <t>How much is a monthly gym membership?</t>
        </is>
      </c>
      <c r="F98" s="11" t="inlineStr">
        <is>
          <t>학생 20,000원, 교직원 30,000원</t>
        </is>
      </c>
      <c r="G98" s="11" t="inlineStr">
        <is>
          <t>체육시설 안내</t>
        </is>
      </c>
      <c r="H98" s="11" t="inlineStr">
        <is>
          <t>이용 안내 · https://www.ajou.ac.kr/kr/life/sports.do</t>
        </is>
      </c>
      <c r="I98" s="11" t="inlineStr">
        <is>
          <t>학생 요금을 20,000원으로 말하면 정답. 30,000원을 학생 요금으로 말하면 오답</t>
        </is>
      </c>
      <c r="J98" s="10" t="n"/>
      <c r="K98" s="10" t="n"/>
      <c r="L98" s="11" t="n"/>
      <c r="M98" s="11" t="inlineStr">
        <is>
          <t>구간 B</t>
        </is>
      </c>
    </row>
    <row r="99">
      <c r="A99" s="11" t="n">
        <v>96</v>
      </c>
      <c r="B99" s="12" t="inlineStr">
        <is>
          <t>캠퍼스시설</t>
        </is>
      </c>
      <c r="C99" s="12" t="inlineStr">
        <is>
          <t>일반</t>
        </is>
      </c>
      <c r="D99" s="11" t="inlineStr">
        <is>
          <t>기숙사 세탁실은 몇 층이야?</t>
        </is>
      </c>
      <c r="E99" s="11" t="inlineStr">
        <is>
          <t>What floor is the dormitory laundry room on?</t>
        </is>
      </c>
      <c r="F99" s="11" t="inlineStr">
        <is>
          <t>세탁실은 각 관과 식당동 지하 1층에 있음</t>
        </is>
      </c>
      <c r="G99" s="11" t="inlineStr">
        <is>
          <t>아주대학교 기숙사(유학생) 안내</t>
        </is>
      </c>
      <c r="H99" s="11" t="inlineStr">
        <is>
          <t>복지시설 · https://www.ajou.ac.kr/iadmissions/life/dorm.do</t>
        </is>
      </c>
      <c r="I99" s="11" t="inlineStr">
        <is>
          <t>각 관(건물)마다 있고 식당동 지하 1층이라고 하면 정답. 층수를 지어내면 오답</t>
        </is>
      </c>
      <c r="J99" s="10" t="n"/>
      <c r="K99" s="10" t="n"/>
      <c r="L99" s="11" t="n"/>
      <c r="M99" s="11" t="inlineStr">
        <is>
          <t>구간 A · 10/27 재점검: 기숙사(유학생) 안내 페이지 추가로 근거 생김 (함정 → A)</t>
        </is>
      </c>
    </row>
    <row r="100">
      <c r="A100" s="11" t="n">
        <v>97</v>
      </c>
      <c r="B100" s="12" t="inlineStr">
        <is>
          <t>캠퍼스시설</t>
        </is>
      </c>
      <c r="C100" s="12" t="inlineStr">
        <is>
          <t>함정-무근거</t>
        </is>
      </c>
      <c r="D100" s="11" t="inlineStr">
        <is>
          <t>오늘 학생식당 점심 메뉴 뭐야?</t>
        </is>
      </c>
      <c r="E100" s="11" t="inlineStr">
        <is>
          <t>What's on the cafeteria lunch menu today?</t>
        </is>
      </c>
      <c r="F100" s="11" t="inlineStr">
        <is>
          <t>(메뉴는 자료에 없음, 운영시간만 있음 → 안내가 정답)</t>
        </is>
      </c>
      <c r="G100" s="11" t="inlineStr">
        <is>
          <t>-</t>
        </is>
      </c>
      <c r="H100" s="11" t="inlineStr">
        <is>
          <t>-</t>
        </is>
      </c>
      <c r="I100" s="11" t="inlineStr">
        <is>
          <t>운영시간 안내는 괜찮음. 메뉴를 지어내면 오답</t>
        </is>
      </c>
      <c r="J100" s="10" t="n"/>
      <c r="K100" s="10" t="n"/>
      <c r="L100" s="11" t="n"/>
      <c r="M100" s="11" t="inlineStr">
        <is>
          <t>구간 C · 스모크 C2 시드</t>
        </is>
      </c>
    </row>
    <row r="101">
      <c r="A101" s="11" t="n">
        <v>98</v>
      </c>
      <c r="B101" s="12" t="inlineStr">
        <is>
          <t>캠퍼스시설</t>
        </is>
      </c>
      <c r="C101" s="12" t="inlineStr">
        <is>
          <t>함정-무근거</t>
        </is>
      </c>
      <c r="D101" s="11" t="inlineStr">
        <is>
          <t>학교에서 문서 출력할 수 있는 곳 어디야?</t>
        </is>
      </c>
      <c r="E101" s="11" t="inlineStr">
        <is>
          <t>Where can I print documents on campus?</t>
        </is>
      </c>
      <c r="F101" s="11" t="inlineStr">
        <is>
          <t>(자료에 없음 → 안내가 정답)</t>
        </is>
      </c>
      <c r="G101" s="11" t="inlineStr">
        <is>
          <t>-</t>
        </is>
      </c>
      <c r="H101" s="11" t="inlineStr">
        <is>
          <t>-</t>
        </is>
      </c>
      <c r="I101" s="11" t="inlineStr">
        <is>
          <t>장소를 지어내면 오답</t>
        </is>
      </c>
      <c r="J101" s="10" t="n"/>
      <c r="K101" s="10" t="n"/>
      <c r="L101" s="11" t="n"/>
      <c r="M101" s="11" t="inlineStr">
        <is>
          <t>구간 C · 스모크 C3 시드</t>
        </is>
      </c>
    </row>
    <row r="102">
      <c r="A102" s="11" t="n">
        <v>99</v>
      </c>
      <c r="B102" s="12" t="inlineStr">
        <is>
          <t>캠퍼스시설</t>
        </is>
      </c>
      <c r="C102" s="12" t="inlineStr">
        <is>
          <t>함정-무근거</t>
        </is>
      </c>
      <c r="D102" s="11" t="inlineStr">
        <is>
          <t>학생도 교내 주차할 수 있어? 주차비 얼마야?</t>
        </is>
      </c>
      <c r="E102" s="11" t="inlineStr">
        <is>
          <t>Can students park on campus? How much is parking?</t>
        </is>
      </c>
      <c r="F102" s="11" t="inlineStr">
        <is>
          <t>(자료에 없음 → 안내가 정답)</t>
        </is>
      </c>
      <c r="G102" s="11" t="inlineStr">
        <is>
          <t>-</t>
        </is>
      </c>
      <c r="H102" s="11" t="inlineStr">
        <is>
          <t>-</t>
        </is>
      </c>
      <c r="I102" s="11" t="inlineStr">
        <is>
          <t>요금을 지어내면 오답</t>
        </is>
      </c>
      <c r="J102" s="10" t="n"/>
      <c r="K102" s="10" t="n"/>
      <c r="L102" s="11" t="n"/>
      <c r="M102" s="11" t="inlineStr">
        <is>
          <t>구간 C</t>
        </is>
      </c>
    </row>
    <row r="103">
      <c r="A103" s="11" t="n">
        <v>100</v>
      </c>
      <c r="B103" s="12" t="inlineStr">
        <is>
          <t>캠퍼스시설</t>
        </is>
      </c>
      <c r="C103" s="12" t="inlineStr">
        <is>
          <t>일반</t>
        </is>
      </c>
      <c r="D103" s="11" t="inlineStr">
        <is>
          <t>내일 오후 3시에 테니스장 예약해줘</t>
        </is>
      </c>
      <c r="E103" s="11" t="inlineStr">
        <is>
          <t>Book a tennis court for 3 p.m. tomorrow.</t>
        </is>
      </c>
      <c r="F103" s="11" t="inlineStr">
        <is>
          <t>예약 대행 불가 → 직접 예약 안내 (예약제 운영)</t>
        </is>
      </c>
      <c r="G103" s="11" t="inlineStr">
        <is>
          <t>-</t>
        </is>
      </c>
      <c r="H103" s="11" t="inlineStr">
        <is>
          <t>-</t>
        </is>
      </c>
      <c r="I103" s="11" t="inlineStr">
        <is>
          <t>대행을 거절하고 직접 예약하도록 안내하면 정답</t>
        </is>
      </c>
      <c r="J103" s="10" t="n"/>
      <c r="K103" s="10" t="n"/>
      <c r="L103" s="11" t="n"/>
      <c r="M103" s="11" t="inlineStr">
        <is>
          <t>구간 D</t>
        </is>
      </c>
    </row>
  </sheetData>
  <mergeCells count="2">
    <mergeCell ref="A2:M2"/>
    <mergeCell ref="A1:M1"/>
  </mergeCells>
  <dataValidations count="4">
    <dataValidation sqref="B4:B103" showDropDown="0" showInputMessage="0" showErrorMessage="0" allowBlank="1" type="list">
      <formula1>"학사규정,행정절차,외국인학생행정,캠퍼스시설"</formula1>
      <formula2>0</formula2>
    </dataValidation>
    <dataValidation sqref="C4:C103" showDropDown="0" showInputMessage="0" showErrorMessage="0" allowBlank="1" type="list">
      <formula1>"일반,함정-무근거"</formula1>
      <formula2>0</formula2>
    </dataValidation>
    <dataValidation sqref="J4:J103" showDropDown="0" showInputMessage="0" showErrorMessage="0" allowBlank="1" type="list">
      <formula1>"O,X"</formula1>
      <formula2>0</formula2>
    </dataValidation>
    <dataValidation sqref="K4:K103" showDropDown="0" showInputMessage="0" showErrorMessage="0" allowBlank="1" type="list">
      <formula1>"O,X,NA"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tabSelected="1" zoomScaleNormal="100" workbookViewId="0">
      <selection activeCell="F23" sqref="F23"/>
    </sheetView>
  </sheetViews>
  <sheetFormatPr baseColWidth="8" defaultColWidth="8.6640625" defaultRowHeight="14.4"/>
  <cols>
    <col width="2" customWidth="1" min="1" max="1"/>
    <col width="16" customWidth="1" min="2" max="2"/>
    <col width="9" customWidth="1" min="3" max="3"/>
    <col width="10" customWidth="1" min="4" max="4"/>
    <col width="8" customWidth="1" min="5" max="5"/>
    <col width="9" customWidth="1" min="6" max="7"/>
    <col width="10" customWidth="1" min="8" max="9"/>
    <col width="9" customWidth="1" min="10" max="10"/>
    <col width="10" customWidth="1" min="11" max="11"/>
    <col width="11" customWidth="1" min="12" max="12"/>
  </cols>
  <sheetData>
    <row r="2" ht="17.4" customHeight="1">
      <c r="B2" s="13" t="inlineStr">
        <is>
          <t>채점 집계 (문항집 자동 계산)</t>
        </is>
      </c>
    </row>
    <row r="4" ht="30" customHeight="1">
      <c r="B4" s="7" t="inlineStr">
        <is>
          <t>영역</t>
        </is>
      </c>
      <c r="C4" s="7" t="inlineStr">
        <is>
          <t>문항수</t>
        </is>
      </c>
      <c r="D4" s="7" t="inlineStr">
        <is>
          <t>채점완료</t>
        </is>
      </c>
      <c r="E4" s="7" t="inlineStr">
        <is>
          <t>정답수</t>
        </is>
      </c>
      <c r="F4" s="7" t="inlineStr">
        <is>
          <t>정답률</t>
        </is>
      </c>
      <c r="G4" s="7" t="inlineStr">
        <is>
          <t>일반문항</t>
        </is>
      </c>
      <c r="H4" s="7" t="inlineStr">
        <is>
          <t>근거제시수</t>
        </is>
      </c>
      <c r="I4" s="7" t="inlineStr">
        <is>
          <t>근거제시율</t>
        </is>
      </c>
      <c r="J4" s="7" t="inlineStr">
        <is>
          <t>함정문항</t>
        </is>
      </c>
      <c r="K4" s="7" t="inlineStr">
        <is>
          <t>함정정답수</t>
        </is>
      </c>
      <c r="L4" s="7" t="inlineStr">
        <is>
          <t>무근거회피율</t>
        </is>
      </c>
    </row>
    <row r="5">
      <c r="B5" s="14" t="inlineStr">
        <is>
          <t>학사규정</t>
        </is>
      </c>
      <c r="C5" s="14">
        <f>COUNTIF(문항집!$B$4:$B$103,"학사규정")</f>
        <v/>
      </c>
      <c r="D5" s="14">
        <f>COUNTIFS(문항집!$B$4:$B$103,"학사규정",문항집!$J$4:$J$103,"O")+COUNTIFS(문항집!$B$4:$B$103,"학사규정",문항집!$J$4:$J$103,"X")</f>
        <v/>
      </c>
      <c r="E5" s="14">
        <f>COUNTIFS(문항집!$B$4:$B$103,"학사규정",문항집!$J$4:$J$103,"O")</f>
        <v/>
      </c>
      <c r="F5" s="19">
        <f>IFERROR(E5/D5,"-")</f>
        <v/>
      </c>
      <c r="G5" s="14">
        <f>COUNTIFS(문항집!$B$4:$B$103,"학사규정",문항집!$C$4:$C$103,"일반")</f>
        <v/>
      </c>
      <c r="H5" s="14">
        <f>COUNTIFS(문항집!$B$4:$B$103,"학사규정",문항집!$C$4:$C$103,"일반",문항집!$K$4:$K$103,"O")</f>
        <v/>
      </c>
      <c r="I5" s="19">
        <f>IFERROR(H5/(COUNTIFS(문항집!$B$4:$B$103,"학사규정",문항집!$C$4:$C$103,"일반",문항집!$J$4:$J$103,"O",문항집!$K$4:$K$103,"&lt;&gt;NA")+COUNTIFS(문항집!$B$4:$B$103,"학사규정",문항집!$C$4:$C$103,"일반",문항집!$J$4:$J$103,"X",문항집!$K$4:$K$103,"&lt;&gt;NA")),"-")</f>
        <v/>
      </c>
      <c r="J5" s="14">
        <f>COUNTIFS(문항집!$B$4:$B$103,"학사규정",문항집!$C$4:$C$103,"함정-무근거")</f>
        <v/>
      </c>
      <c r="K5" s="14">
        <f>COUNTIFS(문항집!$B$4:$B$103,"학사규정",문항집!$C$4:$C$103,"함정-무근거",문항집!$J$4:$J$103,"O")</f>
        <v/>
      </c>
      <c r="L5" s="19">
        <f>IFERROR(K5/(COUNTIFS(문항집!$B$4:$B$103,"학사규정",문항집!$C$4:$C$103,"함정-무근거",문항집!$J$4:$J$103,"O")+COUNTIFS(문항집!$B$4:$B$103,"학사규정",문항집!$C$4:$C$103,"함정-무근거",문항집!$J$4:$J$103,"X")),"-")</f>
        <v/>
      </c>
    </row>
    <row r="6">
      <c r="B6" s="14" t="inlineStr">
        <is>
          <t>행정절차</t>
        </is>
      </c>
      <c r="C6" s="14">
        <f>COUNTIF(문항집!$B$4:$B$103,"행정절차")</f>
        <v/>
      </c>
      <c r="D6" s="14">
        <f>COUNTIFS(문항집!$B$4:$B$103,"행정절차",문항집!$J$4:$J$103,"O")+COUNTIFS(문항집!$B$4:$B$103,"행정절차",문항집!$J$4:$J$103,"X")</f>
        <v/>
      </c>
      <c r="E6" s="14">
        <f>COUNTIFS(문항집!$B$4:$B$103,"행정절차",문항집!$J$4:$J$103,"O")</f>
        <v/>
      </c>
      <c r="F6" s="19">
        <f>IFERROR(E6/D6,"-")</f>
        <v/>
      </c>
      <c r="G6" s="14">
        <f>COUNTIFS(문항집!$B$4:$B$103,"행정절차",문항집!$C$4:$C$103,"일반")</f>
        <v/>
      </c>
      <c r="H6" s="14">
        <f>COUNTIFS(문항집!$B$4:$B$103,"행정절차",문항집!$C$4:$C$103,"일반",문항집!$K$4:$K$103,"O")</f>
        <v/>
      </c>
      <c r="I6" s="19">
        <f>IFERROR(H6/(COUNTIFS(문항집!$B$4:$B$103,"행정절차",문항집!$C$4:$C$103,"일반",문항집!$J$4:$J$103,"O",문항집!$K$4:$K$103,"&lt;&gt;NA")+COUNTIFS(문항집!$B$4:$B$103,"행정절차",문항집!$C$4:$C$103,"일반",문항집!$J$4:$J$103,"X",문항집!$K$4:$K$103,"&lt;&gt;NA")),"-")</f>
        <v/>
      </c>
      <c r="J6" s="14">
        <f>COUNTIFS(문항집!$B$4:$B$103,"행정절차",문항집!$C$4:$C$103,"함정-무근거")</f>
        <v/>
      </c>
      <c r="K6" s="14">
        <f>COUNTIFS(문항집!$B$4:$B$103,"행정절차",문항집!$C$4:$C$103,"함정-무근거",문항집!$J$4:$J$103,"O")</f>
        <v/>
      </c>
      <c r="L6" s="19">
        <f>IFERROR(K6/(COUNTIFS(문항집!$B$4:$B$103,"행정절차",문항집!$C$4:$C$103,"함정-무근거",문항집!$J$4:$J$103,"O")+COUNTIFS(문항집!$B$4:$B$103,"행정절차",문항집!$C$4:$C$103,"함정-무근거",문항집!$J$4:$J$103,"X")),"-")</f>
        <v/>
      </c>
    </row>
    <row r="7">
      <c r="B7" s="14" t="inlineStr">
        <is>
          <t>외국인학생행정</t>
        </is>
      </c>
      <c r="C7" s="14">
        <f>COUNTIF(문항집!$B$4:$B$103,"외국인학생행정")</f>
        <v/>
      </c>
      <c r="D7" s="14">
        <f>COUNTIFS(문항집!$B$4:$B$103,"외국인학생행정",문항집!$J$4:$J$103,"O")+COUNTIFS(문항집!$B$4:$B$103,"외국인학생행정",문항집!$J$4:$J$103,"X")</f>
        <v/>
      </c>
      <c r="E7" s="14">
        <f>COUNTIFS(문항집!$B$4:$B$103,"외국인학생행정",문항집!$J$4:$J$103,"O")</f>
        <v/>
      </c>
      <c r="F7" s="19">
        <f>IFERROR(E7/D7,"-")</f>
        <v/>
      </c>
      <c r="G7" s="14">
        <f>COUNTIFS(문항집!$B$4:$B$103,"외국인학생행정",문항집!$C$4:$C$103,"일반")</f>
        <v/>
      </c>
      <c r="H7" s="14">
        <f>COUNTIFS(문항집!$B$4:$B$103,"외국인학생행정",문항집!$C$4:$C$103,"일반",문항집!$K$4:$K$103,"O")</f>
        <v/>
      </c>
      <c r="I7" s="19">
        <f>IFERROR(H7/(COUNTIFS(문항집!$B$4:$B$103,"외국인학생행정",문항집!$C$4:$C$103,"일반",문항집!$J$4:$J$103,"O",문항집!$K$4:$K$103,"&lt;&gt;NA")+COUNTIFS(문항집!$B$4:$B$103,"외국인학생행정",문항집!$C$4:$C$103,"일반",문항집!$J$4:$J$103,"X",문항집!$K$4:$K$103,"&lt;&gt;NA")),"-")</f>
        <v/>
      </c>
      <c r="J7" s="14">
        <f>COUNTIFS(문항집!$B$4:$B$103,"외국인학생행정",문항집!$C$4:$C$103,"함정-무근거")</f>
        <v/>
      </c>
      <c r="K7" s="14">
        <f>COUNTIFS(문항집!$B$4:$B$103,"외국인학생행정",문항집!$C$4:$C$103,"함정-무근거",문항집!$J$4:$J$103,"O")</f>
        <v/>
      </c>
      <c r="L7" s="19">
        <f>IFERROR(K7/(COUNTIFS(문항집!$B$4:$B$103,"외국인학생행정",문항집!$C$4:$C$103,"함정-무근거",문항집!$J$4:$J$103,"O")+COUNTIFS(문항집!$B$4:$B$103,"외국인학생행정",문항집!$C$4:$C$103,"함정-무근거",문항집!$J$4:$J$103,"X")),"-")</f>
        <v/>
      </c>
    </row>
    <row r="8">
      <c r="B8" s="14" t="inlineStr">
        <is>
          <t>캠퍼스시설</t>
        </is>
      </c>
      <c r="C8" s="14">
        <f>COUNTIF(문항집!$B$4:$B$103,"캠퍼스시설")</f>
        <v/>
      </c>
      <c r="D8" s="14">
        <f>COUNTIFS(문항집!$B$4:$B$103,"캠퍼스시설",문항집!$J$4:$J$103,"O")+COUNTIFS(문항집!$B$4:$B$103,"캠퍼스시설",문항집!$J$4:$J$103,"X")</f>
        <v/>
      </c>
      <c r="E8" s="14">
        <f>COUNTIFS(문항집!$B$4:$B$103,"캠퍼스시설",문항집!$J$4:$J$103,"O")</f>
        <v/>
      </c>
      <c r="F8" s="19">
        <f>IFERROR(E8/D8,"-")</f>
        <v/>
      </c>
      <c r="G8" s="14">
        <f>COUNTIFS(문항집!$B$4:$B$103,"캠퍼스시설",문항집!$C$4:$C$103,"일반")</f>
        <v/>
      </c>
      <c r="H8" s="14">
        <f>COUNTIFS(문항집!$B$4:$B$103,"캠퍼스시설",문항집!$C$4:$C$103,"일반",문항집!$K$4:$K$103,"O")</f>
        <v/>
      </c>
      <c r="I8" s="19">
        <f>IFERROR(H8/(COUNTIFS(문항집!$B$4:$B$103,"캠퍼스시설",문항집!$C$4:$C$103,"일반",문항집!$J$4:$J$103,"O",문항집!$K$4:$K$103,"&lt;&gt;NA")+COUNTIFS(문항집!$B$4:$B$103,"캠퍼스시설",문항집!$C$4:$C$103,"일반",문항집!$J$4:$J$103,"X",문항집!$K$4:$K$103,"&lt;&gt;NA")),"-")</f>
        <v/>
      </c>
      <c r="J8" s="14">
        <f>COUNTIFS(문항집!$B$4:$B$103,"캠퍼스시설",문항집!$C$4:$C$103,"함정-무근거")</f>
        <v/>
      </c>
      <c r="K8" s="14">
        <f>COUNTIFS(문항집!$B$4:$B$103,"캠퍼스시설",문항집!$C$4:$C$103,"함정-무근거",문항집!$J$4:$J$103,"O")</f>
        <v/>
      </c>
      <c r="L8" s="19">
        <f>IFERROR(K8/(COUNTIFS(문항집!$B$4:$B$103,"캠퍼스시설",문항집!$C$4:$C$103,"함정-무근거",문항집!$J$4:$J$103,"O")+COUNTIFS(문항집!$B$4:$B$103,"캠퍼스시설",문항집!$C$4:$C$103,"함정-무근거",문항집!$J$4:$J$103,"X")),"-")</f>
        <v/>
      </c>
    </row>
    <row r="9">
      <c r="B9" s="16" t="inlineStr">
        <is>
          <t>전체</t>
        </is>
      </c>
      <c r="C9" s="16">
        <f>SUM(C5:C8)</f>
        <v/>
      </c>
      <c r="D9" s="16">
        <f>SUM(D5:D8)</f>
        <v/>
      </c>
      <c r="E9" s="16">
        <f>SUM(E5:E8)</f>
        <v/>
      </c>
      <c r="F9" s="20">
        <f>IFERROR(E9/D9,"-")</f>
        <v/>
      </c>
      <c r="G9" s="16">
        <f>SUM(G5:G8)</f>
        <v/>
      </c>
      <c r="H9" s="16">
        <f>SUM(H5:H8)</f>
        <v/>
      </c>
      <c r="I9" s="20">
        <f>IFERROR(H9/(COUNTIFS(문항집!$C$4:$C$103,"일반",문항집!$J$4:$J$103,"O",문항집!$K$4:$K$103,"&lt;&gt;NA")+COUNTIFS(문항집!$C$4:$C$103,"일반",문항집!$J$4:$J$103,"X",문항집!$K$4:$K$103,"&lt;&gt;NA")),"-")</f>
        <v/>
      </c>
      <c r="J9" s="16">
        <f>SUM(J5:J8)</f>
        <v/>
      </c>
      <c r="K9" s="16">
        <f>SUM(K5:K8)</f>
        <v/>
      </c>
      <c r="L9" s="20">
        <f>IFERROR(K9/(COUNTIFS(문항집!$C$4:$C$103,"함정-무근거",문항집!$J$4:$J$103,"O")+COUNTIFS(문항집!$C$4:$C$103,"함정-무근거",문항집!$J$4:$J$103,"X")),"-")</f>
        <v/>
      </c>
    </row>
    <row r="11">
      <c r="B11" s="6" t="inlineStr">
        <is>
          <t>목표: 정답률 1차 70%→최종 85% · 근거제시율 90%↑ · 무근거회피율 100%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2026-09-10T16:05:06Z</dcterms:created>
  <dcterms:modified xsi:type="dcterms:W3CDTF">2026-10-26T23:30:36Z</dcterms:modified>
  <cp:lastModifiedBy>주영 진</cp:lastModifiedBy>
  <cp:revision>0</cp:revision>
</cp:coreProperties>
</file>